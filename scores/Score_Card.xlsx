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akber/Downloads/"/>
    </mc:Choice>
  </mc:AlternateContent>
  <xr:revisionPtr revIDLastSave="0" documentId="8_{A03DEF97-D341-7948-99A5-F5175C407AB9}" xr6:coauthVersionLast="47" xr6:coauthVersionMax="47" xr10:uidLastSave="{00000000-0000-0000-0000-000000000000}"/>
  <bookViews>
    <workbookView xWindow="0" yWindow="760" windowWidth="29400" windowHeight="16960" activeTab="6" xr2:uid="{80F890F9-808C-4260-AFEB-091B93DC4636}"/>
  </bookViews>
  <sheets>
    <sheet name="Sheet1" sheetId="1" state="hidden" r:id="rId1"/>
    <sheet name="Shuffled Matches" sheetId="2" r:id="rId2"/>
    <sheet name="Standings" sheetId="3" state="hidden" r:id="rId3"/>
    <sheet name="Format Scoreboards" sheetId="4" r:id="rId4"/>
    <sheet name="Qualification Data" sheetId="5" state="hidden" r:id="rId5"/>
    <sheet name="Qualifiers" sheetId="6" r:id="rId6"/>
    <sheet name="Finals" sheetId="7" r:id="rId7"/>
    <sheet name="Best Team Ranking" sheetId="8" r:id="rId8"/>
    <sheet name="Points Table" sheetId="11" state="hidden" r:id="rId9"/>
  </sheets>
  <externalReferences>
    <externalReference r:id="rId10"/>
  </externalReferences>
  <definedNames>
    <definedName name="_xlnm._FilterDatabase" localSheetId="3" hidden="1">'Format Scoreboards'!$B$4:$L$4</definedName>
    <definedName name="_xlnm._FilterDatabase" localSheetId="1" hidden="1">'Shuffled Matches'!$B$2:$M$107</definedName>
    <definedName name="_xlnm.Print_Area" localSheetId="3">'Format Scoreboards'!$A$1:$K$94</definedName>
    <definedName name="_xlnm.Print_Area" localSheetId="0">Sheet1!$A$1:$L$106</definedName>
    <definedName name="_xlnm.Print_Area" localSheetId="1">'Shuffled Matches'!$B$2:$K$112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7" i="7" l="1"/>
  <c r="C27" i="7"/>
  <c r="J26" i="7"/>
  <c r="C26" i="7"/>
  <c r="J19" i="7"/>
  <c r="C19" i="7"/>
  <c r="J18" i="7"/>
  <c r="C18" i="7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P37" i="2" s="1"/>
  <c r="N38" i="2"/>
  <c r="N39" i="2"/>
  <c r="N40" i="2"/>
  <c r="N41" i="2"/>
  <c r="N42" i="2"/>
  <c r="N43" i="2"/>
  <c r="N44" i="2"/>
  <c r="N45" i="2"/>
  <c r="N46" i="2"/>
  <c r="N47" i="2"/>
  <c r="P47" i="2" s="1"/>
  <c r="N48" i="2"/>
  <c r="N49" i="2"/>
  <c r="N50" i="2"/>
  <c r="N51" i="2"/>
  <c r="N52" i="2"/>
  <c r="N53" i="2"/>
  <c r="N54" i="2"/>
  <c r="N55" i="2"/>
  <c r="N56" i="2"/>
  <c r="N57" i="2"/>
  <c r="P57" i="2" s="1"/>
  <c r="N58" i="2"/>
  <c r="N59" i="2"/>
  <c r="N60" i="2"/>
  <c r="N61" i="2"/>
  <c r="N62" i="2"/>
  <c r="N63" i="2"/>
  <c r="N64" i="2"/>
  <c r="N65" i="2"/>
  <c r="N66" i="2"/>
  <c r="P66" i="2" s="1"/>
  <c r="N67" i="2"/>
  <c r="N68" i="2"/>
  <c r="N69" i="2"/>
  <c r="N70" i="2"/>
  <c r="N71" i="2"/>
  <c r="N72" i="2"/>
  <c r="N73" i="2"/>
  <c r="N74" i="2"/>
  <c r="N75" i="2"/>
  <c r="N76" i="2"/>
  <c r="N77" i="2"/>
  <c r="P77" i="2" s="1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P96" i="2" s="1"/>
  <c r="N97" i="2"/>
  <c r="N98" i="2"/>
  <c r="N99" i="2"/>
  <c r="N100" i="2"/>
  <c r="N101" i="2"/>
  <c r="N102" i="2"/>
  <c r="N103" i="2"/>
  <c r="N104" i="2"/>
  <c r="N105" i="2"/>
  <c r="N106" i="2"/>
  <c r="P106" i="2" s="1"/>
  <c r="N107" i="2"/>
  <c r="P79" i="2" l="1"/>
  <c r="P29" i="2"/>
  <c r="P69" i="2"/>
  <c r="P88" i="2"/>
  <c r="P58" i="2"/>
  <c r="P48" i="2"/>
  <c r="P90" i="2"/>
  <c r="P80" i="2"/>
  <c r="P9" i="2"/>
  <c r="P95" i="2"/>
  <c r="P85" i="2"/>
  <c r="P55" i="2"/>
  <c r="P45" i="2"/>
  <c r="P25" i="2"/>
  <c r="P5" i="2"/>
  <c r="P74" i="2"/>
  <c r="P103" i="2"/>
  <c r="P93" i="2"/>
  <c r="P63" i="2"/>
  <c r="P53" i="2"/>
  <c r="P23" i="2"/>
  <c r="P104" i="2"/>
  <c r="P64" i="2"/>
  <c r="P82" i="2"/>
  <c r="P72" i="2"/>
  <c r="P71" i="2"/>
  <c r="P41" i="2"/>
  <c r="P31" i="2"/>
  <c r="E59" i="11"/>
  <c r="L64" i="4" s="1"/>
  <c r="F32" i="5" s="1"/>
  <c r="E27" i="11"/>
  <c r="L20" i="4" s="1"/>
  <c r="F10" i="5" s="1"/>
  <c r="P73" i="2"/>
  <c r="P24" i="2"/>
  <c r="P16" i="2"/>
  <c r="P8" i="2"/>
  <c r="P42" i="2"/>
  <c r="P10" i="2"/>
  <c r="F27" i="11"/>
  <c r="P12" i="2"/>
  <c r="E79" i="11"/>
  <c r="L92" i="4" s="1"/>
  <c r="F45" i="5" s="1"/>
  <c r="F67" i="11"/>
  <c r="F41" i="11"/>
  <c r="P100" i="2"/>
  <c r="P92" i="2"/>
  <c r="P84" i="2"/>
  <c r="P76" i="2"/>
  <c r="P68" i="2"/>
  <c r="P60" i="2"/>
  <c r="P52" i="2"/>
  <c r="P44" i="2"/>
  <c r="P36" i="2"/>
  <c r="P28" i="2"/>
  <c r="P4" i="2"/>
  <c r="E58" i="11"/>
  <c r="L63" i="4" s="1"/>
  <c r="F31" i="5" s="1"/>
  <c r="E78" i="11"/>
  <c r="P97" i="2"/>
  <c r="P89" i="2"/>
  <c r="P81" i="2"/>
  <c r="P65" i="2"/>
  <c r="P49" i="2"/>
  <c r="E40" i="11"/>
  <c r="L37" i="4" s="1"/>
  <c r="F20" i="5" s="1"/>
  <c r="F17" i="11"/>
  <c r="P17" i="2"/>
  <c r="E80" i="11"/>
  <c r="L93" i="4" s="1"/>
  <c r="F46" i="5" s="1"/>
  <c r="F19" i="11"/>
  <c r="F9" i="11"/>
  <c r="E17" i="11"/>
  <c r="L6" i="4" s="1"/>
  <c r="F3" i="5" s="1"/>
  <c r="F49" i="11"/>
  <c r="F66" i="11"/>
  <c r="P107" i="2"/>
  <c r="P99" i="2"/>
  <c r="P91" i="2"/>
  <c r="P83" i="2"/>
  <c r="P75" i="2"/>
  <c r="P67" i="2"/>
  <c r="P59" i="2"/>
  <c r="P51" i="2"/>
  <c r="P43" i="2"/>
  <c r="P35" i="2"/>
  <c r="P27" i="2"/>
  <c r="P19" i="2"/>
  <c r="P11" i="2"/>
  <c r="P3" i="2"/>
  <c r="F46" i="11"/>
  <c r="F47" i="11"/>
  <c r="P20" i="2"/>
  <c r="E69" i="11"/>
  <c r="P39" i="2"/>
  <c r="F31" i="11"/>
  <c r="E29" i="11"/>
  <c r="P15" i="2"/>
  <c r="E7" i="11"/>
  <c r="E37" i="11"/>
  <c r="P7" i="2"/>
  <c r="F78" i="11"/>
  <c r="F57" i="11"/>
  <c r="E61" i="11"/>
  <c r="F56" i="11"/>
  <c r="F6" i="11"/>
  <c r="E9" i="11"/>
  <c r="E48" i="11"/>
  <c r="P102" i="2"/>
  <c r="P94" i="2"/>
  <c r="P86" i="2"/>
  <c r="P78" i="2"/>
  <c r="P70" i="2"/>
  <c r="P62" i="2"/>
  <c r="E49" i="11"/>
  <c r="P54" i="2"/>
  <c r="P46" i="2"/>
  <c r="E67" i="11"/>
  <c r="P38" i="2"/>
  <c r="P30" i="2"/>
  <c r="F81" i="11"/>
  <c r="E76" i="11"/>
  <c r="P22" i="2"/>
  <c r="P14" i="2"/>
  <c r="P6" i="2"/>
  <c r="F80" i="11"/>
  <c r="F69" i="11"/>
  <c r="E31" i="11"/>
  <c r="F29" i="11"/>
  <c r="F37" i="11"/>
  <c r="P26" i="2"/>
  <c r="F7" i="11"/>
  <c r="F59" i="11"/>
  <c r="F50" i="11"/>
  <c r="E81" i="11"/>
  <c r="F76" i="11"/>
  <c r="F18" i="11"/>
  <c r="F8" i="11"/>
  <c r="F10" i="11"/>
  <c r="E46" i="11"/>
  <c r="E47" i="11"/>
  <c r="E70" i="11"/>
  <c r="E20" i="11"/>
  <c r="F60" i="11"/>
  <c r="F38" i="11"/>
  <c r="F77" i="11"/>
  <c r="F16" i="11"/>
  <c r="P98" i="2"/>
  <c r="P87" i="2"/>
  <c r="P56" i="2"/>
  <c r="P40" i="2"/>
  <c r="E10" i="11"/>
  <c r="E18" i="11"/>
  <c r="F51" i="11"/>
  <c r="E66" i="11"/>
  <c r="E71" i="11"/>
  <c r="E21" i="11"/>
  <c r="E16" i="11"/>
  <c r="P101" i="2"/>
  <c r="E60" i="11"/>
  <c r="E39" i="11"/>
  <c r="P61" i="2"/>
  <c r="E38" i="11"/>
  <c r="P21" i="2"/>
  <c r="F39" i="11"/>
  <c r="E36" i="11"/>
  <c r="F20" i="11"/>
  <c r="E19" i="11"/>
  <c r="F48" i="11"/>
  <c r="E8" i="11"/>
  <c r="E6" i="11"/>
  <c r="E50" i="11"/>
  <c r="E77" i="11"/>
  <c r="P13" i="2"/>
  <c r="F36" i="11"/>
  <c r="F28" i="11"/>
  <c r="F58" i="11"/>
  <c r="E41" i="11"/>
  <c r="F40" i="11"/>
  <c r="E11" i="11"/>
  <c r="P50" i="2"/>
  <c r="P34" i="2"/>
  <c r="P18" i="2"/>
  <c r="E68" i="11"/>
  <c r="F79" i="11"/>
  <c r="P33" i="2"/>
  <c r="E26" i="11"/>
  <c r="E57" i="11"/>
  <c r="F61" i="11"/>
  <c r="E56" i="11"/>
  <c r="F30" i="11"/>
  <c r="E30" i="11"/>
  <c r="E51" i="11"/>
  <c r="F68" i="11"/>
  <c r="F26" i="11"/>
  <c r="P105" i="2"/>
  <c r="P32" i="2"/>
  <c r="F11" i="11"/>
  <c r="F21" i="11"/>
  <c r="E28" i="11"/>
  <c r="F70" i="11"/>
  <c r="F71" i="11"/>
  <c r="G59" i="11" l="1"/>
  <c r="D64" i="4" s="1"/>
  <c r="G27" i="11"/>
  <c r="D20" i="4" s="1"/>
  <c r="G17" i="11"/>
  <c r="D6" i="4" s="1"/>
  <c r="G79" i="11"/>
  <c r="D92" i="4" s="1"/>
  <c r="G58" i="11"/>
  <c r="D63" i="4" s="1"/>
  <c r="G6" i="11"/>
  <c r="J5" i="3" s="1"/>
  <c r="G80" i="11"/>
  <c r="D93" i="4" s="1"/>
  <c r="G9" i="11"/>
  <c r="J8" i="3" s="1"/>
  <c r="G78" i="11"/>
  <c r="D91" i="4" s="1"/>
  <c r="G11" i="11"/>
  <c r="J10" i="3" s="1"/>
  <c r="G8" i="11"/>
  <c r="J7" i="3" s="1"/>
  <c r="G40" i="11"/>
  <c r="D37" i="4" s="1"/>
  <c r="L91" i="4"/>
  <c r="F44" i="5" s="1"/>
  <c r="G10" i="11"/>
  <c r="J9" i="3" s="1"/>
  <c r="G49" i="11"/>
  <c r="L50" i="4"/>
  <c r="F26" i="5" s="1"/>
  <c r="L21" i="4"/>
  <c r="F11" i="5" s="1"/>
  <c r="G28" i="11"/>
  <c r="G51" i="11"/>
  <c r="D52" i="4" s="1"/>
  <c r="L52" i="4"/>
  <c r="F28" i="5" s="1"/>
  <c r="L19" i="4"/>
  <c r="F9" i="5" s="1"/>
  <c r="G26" i="11"/>
  <c r="L9" i="4"/>
  <c r="F6" i="5" s="1"/>
  <c r="G20" i="11"/>
  <c r="L89" i="4"/>
  <c r="F42" i="5" s="1"/>
  <c r="G76" i="11"/>
  <c r="L66" i="4"/>
  <c r="F34" i="5" s="1"/>
  <c r="G61" i="11"/>
  <c r="D66" i="4" s="1"/>
  <c r="L22" i="4"/>
  <c r="F12" i="5" s="1"/>
  <c r="G29" i="11"/>
  <c r="D22" i="4" s="1"/>
  <c r="G38" i="11"/>
  <c r="L35" i="4"/>
  <c r="F18" i="5" s="1"/>
  <c r="G66" i="11"/>
  <c r="L75" i="4"/>
  <c r="F36" i="5" s="1"/>
  <c r="L79" i="4"/>
  <c r="F40" i="5" s="1"/>
  <c r="G70" i="11"/>
  <c r="L48" i="4"/>
  <c r="F24" i="5" s="1"/>
  <c r="G47" i="11"/>
  <c r="L24" i="4"/>
  <c r="F14" i="5" s="1"/>
  <c r="G31" i="11"/>
  <c r="L78" i="4"/>
  <c r="F39" i="5" s="1"/>
  <c r="G69" i="11"/>
  <c r="D78" i="4" s="1"/>
  <c r="L90" i="4"/>
  <c r="F43" i="5" s="1"/>
  <c r="G77" i="11"/>
  <c r="D90" i="4" s="1"/>
  <c r="L61" i="4"/>
  <c r="F29" i="5" s="1"/>
  <c r="G56" i="11"/>
  <c r="L38" i="4"/>
  <c r="F21" i="5" s="1"/>
  <c r="G41" i="11"/>
  <c r="G19" i="11"/>
  <c r="D8" i="4" s="1"/>
  <c r="L8" i="4"/>
  <c r="F5" i="5" s="1"/>
  <c r="G39" i="11"/>
  <c r="D36" i="4" s="1"/>
  <c r="L36" i="4"/>
  <c r="F19" i="5" s="1"/>
  <c r="L47" i="4"/>
  <c r="F23" i="5" s="1"/>
  <c r="G46" i="11"/>
  <c r="L80" i="4"/>
  <c r="F41" i="5" s="1"/>
  <c r="G71" i="11"/>
  <c r="L23" i="4"/>
  <c r="F13" i="5" s="1"/>
  <c r="G30" i="11"/>
  <c r="L65" i="4"/>
  <c r="F33" i="5" s="1"/>
  <c r="G60" i="11"/>
  <c r="L5" i="4"/>
  <c r="F2" i="5" s="1"/>
  <c r="G16" i="11"/>
  <c r="G67" i="11"/>
  <c r="L76" i="4"/>
  <c r="F37" i="5" s="1"/>
  <c r="L34" i="4"/>
  <c r="F17" i="5" s="1"/>
  <c r="G37" i="11"/>
  <c r="D34" i="4" s="1"/>
  <c r="L62" i="4"/>
  <c r="F30" i="5" s="1"/>
  <c r="G57" i="11"/>
  <c r="L77" i="4"/>
  <c r="F38" i="5" s="1"/>
  <c r="G68" i="11"/>
  <c r="G50" i="11"/>
  <c r="L51" i="4"/>
  <c r="F27" i="5" s="1"/>
  <c r="L33" i="4"/>
  <c r="F16" i="5" s="1"/>
  <c r="G36" i="11"/>
  <c r="G7" i="11"/>
  <c r="L94" i="4"/>
  <c r="F47" i="5" s="1"/>
  <c r="G81" i="11"/>
  <c r="L10" i="4"/>
  <c r="F7" i="5" s="1"/>
  <c r="G21" i="11"/>
  <c r="D10" i="4" s="1"/>
  <c r="L7" i="4"/>
  <c r="F4" i="5" s="1"/>
  <c r="G18" i="11"/>
  <c r="G48" i="11"/>
  <c r="L49" i="4"/>
  <c r="F25" i="5" s="1"/>
  <c r="I5" i="7"/>
  <c r="P5" i="7"/>
  <c r="I6" i="7"/>
  <c r="P6" i="7"/>
  <c r="I7" i="7"/>
  <c r="P7" i="7"/>
  <c r="I8" i="7"/>
  <c r="P8" i="7"/>
  <c r="I9" i="7"/>
  <c r="P9" i="7"/>
  <c r="I10" i="7"/>
  <c r="P10" i="7"/>
  <c r="I11" i="7"/>
  <c r="P11" i="7"/>
  <c r="I12" i="7"/>
  <c r="P12" i="7"/>
  <c r="I13" i="7"/>
  <c r="P13" i="7"/>
  <c r="I14" i="7"/>
  <c r="P14" i="7"/>
  <c r="I15" i="7"/>
  <c r="P15" i="7"/>
  <c r="I16" i="7"/>
  <c r="P16" i="7"/>
  <c r="I17" i="7"/>
  <c r="P17" i="7"/>
  <c r="I18" i="7"/>
  <c r="P18" i="7"/>
  <c r="I19" i="7"/>
  <c r="P19" i="7"/>
  <c r="I20" i="7"/>
  <c r="P20" i="7"/>
  <c r="I22" i="7"/>
  <c r="P22" i="7"/>
  <c r="I23" i="7"/>
  <c r="P23" i="7"/>
  <c r="I24" i="7"/>
  <c r="P24" i="7"/>
  <c r="I25" i="7"/>
  <c r="P25" i="7"/>
  <c r="I26" i="7"/>
  <c r="P26" i="7"/>
  <c r="I27" i="7"/>
  <c r="P27" i="7"/>
  <c r="I28" i="7"/>
  <c r="P28" i="7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J107" i="2"/>
  <c r="J106" i="2"/>
  <c r="J105" i="2"/>
  <c r="J104" i="2"/>
  <c r="J103" i="2"/>
  <c r="J102" i="2"/>
  <c r="J100" i="2"/>
  <c r="J99" i="2"/>
  <c r="J98" i="2"/>
  <c r="J97" i="2"/>
  <c r="J96" i="2"/>
  <c r="J95" i="2"/>
  <c r="J94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8" i="2"/>
  <c r="J7" i="2"/>
  <c r="J6" i="2"/>
  <c r="J5" i="2"/>
  <c r="J4" i="2"/>
  <c r="L3" i="2"/>
  <c r="J3" i="2"/>
  <c r="L106" i="1"/>
  <c r="I106" i="1"/>
  <c r="H106" i="1"/>
  <c r="L105" i="1"/>
  <c r="I105" i="1"/>
  <c r="H105" i="1"/>
  <c r="L104" i="1"/>
  <c r="I104" i="1"/>
  <c r="H104" i="1"/>
  <c r="L103" i="1"/>
  <c r="I103" i="1"/>
  <c r="H103" i="1"/>
  <c r="L102" i="1"/>
  <c r="I102" i="1"/>
  <c r="H102" i="1"/>
  <c r="L101" i="1"/>
  <c r="I101" i="1"/>
  <c r="H101" i="1"/>
  <c r="L100" i="1"/>
  <c r="I100" i="1"/>
  <c r="H100" i="1"/>
  <c r="L99" i="1"/>
  <c r="I99" i="1"/>
  <c r="H99" i="1"/>
  <c r="L98" i="1"/>
  <c r="I98" i="1"/>
  <c r="H98" i="1"/>
  <c r="L97" i="1"/>
  <c r="I97" i="1"/>
  <c r="H97" i="1"/>
  <c r="L96" i="1"/>
  <c r="I96" i="1"/>
  <c r="H96" i="1"/>
  <c r="L95" i="1"/>
  <c r="I95" i="1"/>
  <c r="H95" i="1"/>
  <c r="L94" i="1"/>
  <c r="I94" i="1"/>
  <c r="H94" i="1"/>
  <c r="L93" i="1"/>
  <c r="I93" i="1"/>
  <c r="H93" i="1"/>
  <c r="L92" i="1"/>
  <c r="I92" i="1"/>
  <c r="H92" i="1"/>
  <c r="L91" i="1"/>
  <c r="I91" i="1"/>
  <c r="H91" i="1"/>
  <c r="L90" i="1"/>
  <c r="I90" i="1"/>
  <c r="H90" i="1"/>
  <c r="L89" i="1"/>
  <c r="I89" i="1"/>
  <c r="H89" i="1"/>
  <c r="L88" i="1"/>
  <c r="I88" i="1"/>
  <c r="H88" i="1"/>
  <c r="L87" i="1"/>
  <c r="I87" i="1"/>
  <c r="H87" i="1"/>
  <c r="L86" i="1"/>
  <c r="I86" i="1"/>
  <c r="H86" i="1"/>
  <c r="L85" i="1"/>
  <c r="I85" i="1"/>
  <c r="H85" i="1"/>
  <c r="L84" i="1"/>
  <c r="I84" i="1"/>
  <c r="H84" i="1"/>
  <c r="L83" i="1"/>
  <c r="I83" i="1"/>
  <c r="H83" i="1"/>
  <c r="L82" i="1"/>
  <c r="I82" i="1"/>
  <c r="H82" i="1"/>
  <c r="L81" i="1"/>
  <c r="I81" i="1"/>
  <c r="H81" i="1"/>
  <c r="L80" i="1"/>
  <c r="I80" i="1"/>
  <c r="H80" i="1"/>
  <c r="L79" i="1"/>
  <c r="I79" i="1"/>
  <c r="H79" i="1"/>
  <c r="L78" i="1"/>
  <c r="I78" i="1"/>
  <c r="H78" i="1"/>
  <c r="L77" i="1"/>
  <c r="I77" i="1"/>
  <c r="H77" i="1"/>
  <c r="L76" i="1"/>
  <c r="I76" i="1"/>
  <c r="H76" i="1"/>
  <c r="L75" i="1"/>
  <c r="I75" i="1"/>
  <c r="H75" i="1"/>
  <c r="L74" i="1"/>
  <c r="I74" i="1"/>
  <c r="H74" i="1"/>
  <c r="L73" i="1"/>
  <c r="I73" i="1"/>
  <c r="H73" i="1"/>
  <c r="L72" i="1"/>
  <c r="I72" i="1"/>
  <c r="H72" i="1"/>
  <c r="L71" i="1"/>
  <c r="I71" i="1"/>
  <c r="H71" i="1"/>
  <c r="L70" i="1"/>
  <c r="I70" i="1"/>
  <c r="H70" i="1"/>
  <c r="L69" i="1"/>
  <c r="I69" i="1"/>
  <c r="H69" i="1"/>
  <c r="L68" i="1"/>
  <c r="I68" i="1"/>
  <c r="H68" i="1"/>
  <c r="L67" i="1"/>
  <c r="I67" i="1"/>
  <c r="H67" i="1"/>
  <c r="L66" i="1"/>
  <c r="I66" i="1"/>
  <c r="H66" i="1"/>
  <c r="L65" i="1"/>
  <c r="I65" i="1"/>
  <c r="H65" i="1"/>
  <c r="L64" i="1"/>
  <c r="I64" i="1"/>
  <c r="H64" i="1"/>
  <c r="L63" i="1"/>
  <c r="I63" i="1"/>
  <c r="H63" i="1"/>
  <c r="L62" i="1"/>
  <c r="I62" i="1"/>
  <c r="H62" i="1"/>
  <c r="L61" i="1"/>
  <c r="I61" i="1"/>
  <c r="H61" i="1"/>
  <c r="L60" i="1"/>
  <c r="I60" i="1"/>
  <c r="H60" i="1"/>
  <c r="L59" i="1"/>
  <c r="I59" i="1"/>
  <c r="H59" i="1"/>
  <c r="L58" i="1"/>
  <c r="I58" i="1"/>
  <c r="H58" i="1"/>
  <c r="L57" i="1"/>
  <c r="I57" i="1"/>
  <c r="H57" i="1"/>
  <c r="L56" i="1"/>
  <c r="I56" i="1"/>
  <c r="H56" i="1"/>
  <c r="L55" i="1"/>
  <c r="I55" i="1"/>
  <c r="H55" i="1"/>
  <c r="L54" i="1"/>
  <c r="I54" i="1"/>
  <c r="H54" i="1"/>
  <c r="L53" i="1"/>
  <c r="I53" i="1"/>
  <c r="H53" i="1"/>
  <c r="L52" i="1"/>
  <c r="I52" i="1"/>
  <c r="H52" i="1"/>
  <c r="L51" i="1"/>
  <c r="I51" i="1"/>
  <c r="H51" i="1"/>
  <c r="L50" i="1"/>
  <c r="I50" i="1"/>
  <c r="H50" i="1"/>
  <c r="L49" i="1"/>
  <c r="I49" i="1"/>
  <c r="H49" i="1"/>
  <c r="L48" i="1"/>
  <c r="I48" i="1"/>
  <c r="H48" i="1"/>
  <c r="L47" i="1"/>
  <c r="I47" i="1"/>
  <c r="H47" i="1"/>
  <c r="L46" i="1"/>
  <c r="I46" i="1"/>
  <c r="H46" i="1"/>
  <c r="L45" i="1"/>
  <c r="I45" i="1"/>
  <c r="H45" i="1"/>
  <c r="L44" i="1"/>
  <c r="I44" i="1"/>
  <c r="H44" i="1"/>
  <c r="L43" i="1"/>
  <c r="I43" i="1"/>
  <c r="H43" i="1"/>
  <c r="L42" i="1"/>
  <c r="I42" i="1"/>
  <c r="H42" i="1"/>
  <c r="L41" i="1"/>
  <c r="I41" i="1"/>
  <c r="H41" i="1"/>
  <c r="L40" i="1"/>
  <c r="I40" i="1"/>
  <c r="H40" i="1"/>
  <c r="L39" i="1"/>
  <c r="I39" i="1"/>
  <c r="H39" i="1"/>
  <c r="L38" i="1"/>
  <c r="I38" i="1"/>
  <c r="H38" i="1"/>
  <c r="L37" i="1"/>
  <c r="I37" i="1"/>
  <c r="H37" i="1"/>
  <c r="L36" i="1"/>
  <c r="I36" i="1"/>
  <c r="H36" i="1"/>
  <c r="L35" i="1"/>
  <c r="I35" i="1"/>
  <c r="H35" i="1"/>
  <c r="L34" i="1"/>
  <c r="I34" i="1"/>
  <c r="H34" i="1"/>
  <c r="L33" i="1"/>
  <c r="I33" i="1"/>
  <c r="H33" i="1"/>
  <c r="L32" i="1"/>
  <c r="I32" i="1"/>
  <c r="H32" i="1"/>
  <c r="L31" i="1"/>
  <c r="I31" i="1"/>
  <c r="H31" i="1"/>
  <c r="L30" i="1"/>
  <c r="I30" i="1"/>
  <c r="H30" i="1"/>
  <c r="L29" i="1"/>
  <c r="I29" i="1"/>
  <c r="H29" i="1"/>
  <c r="L28" i="1"/>
  <c r="I28" i="1"/>
  <c r="H28" i="1"/>
  <c r="L27" i="1"/>
  <c r="I27" i="1"/>
  <c r="H27" i="1"/>
  <c r="L26" i="1"/>
  <c r="I26" i="1"/>
  <c r="H26" i="1"/>
  <c r="L25" i="1"/>
  <c r="I25" i="1"/>
  <c r="H25" i="1"/>
  <c r="L24" i="1"/>
  <c r="I24" i="1"/>
  <c r="H24" i="1"/>
  <c r="L23" i="1"/>
  <c r="I23" i="1"/>
  <c r="H23" i="1"/>
  <c r="L22" i="1"/>
  <c r="I22" i="1"/>
  <c r="H22" i="1"/>
  <c r="L21" i="1"/>
  <c r="I21" i="1"/>
  <c r="H21" i="1"/>
  <c r="L20" i="1"/>
  <c r="I20" i="1"/>
  <c r="H20" i="1"/>
  <c r="L19" i="1"/>
  <c r="I19" i="1"/>
  <c r="H19" i="1"/>
  <c r="L18" i="1"/>
  <c r="I18" i="1"/>
  <c r="H18" i="1"/>
  <c r="L17" i="1"/>
  <c r="I17" i="1"/>
  <c r="H17" i="1"/>
  <c r="L16" i="1"/>
  <c r="I16" i="1"/>
  <c r="H16" i="1"/>
  <c r="L15" i="1"/>
  <c r="I15" i="1"/>
  <c r="H15" i="1"/>
  <c r="L14" i="1"/>
  <c r="I14" i="1"/>
  <c r="H14" i="1"/>
  <c r="L13" i="1"/>
  <c r="I13" i="1"/>
  <c r="H13" i="1"/>
  <c r="L12" i="1"/>
  <c r="I12" i="1"/>
  <c r="H12" i="1"/>
  <c r="L11" i="1"/>
  <c r="I11" i="1"/>
  <c r="H11" i="1"/>
  <c r="L10" i="1"/>
  <c r="I10" i="1"/>
  <c r="H10" i="1"/>
  <c r="L9" i="1"/>
  <c r="I9" i="1"/>
  <c r="H9" i="1"/>
  <c r="L8" i="1"/>
  <c r="I8" i="1"/>
  <c r="H8" i="1"/>
  <c r="L7" i="1"/>
  <c r="I7" i="1"/>
  <c r="H7" i="1"/>
  <c r="L6" i="1"/>
  <c r="I6" i="1"/>
  <c r="H6" i="1"/>
  <c r="L5" i="1"/>
  <c r="I5" i="1"/>
  <c r="H5" i="1"/>
  <c r="L4" i="1"/>
  <c r="I4" i="1"/>
  <c r="H4" i="1"/>
  <c r="L3" i="1"/>
  <c r="I3" i="1"/>
  <c r="H3" i="1"/>
  <c r="L2" i="1"/>
  <c r="I2" i="1"/>
  <c r="H2" i="1"/>
  <c r="Q23" i="7" l="1"/>
  <c r="R23" i="7" s="1"/>
  <c r="Q22" i="7"/>
  <c r="R22" i="7" s="1"/>
  <c r="D26" i="7"/>
  <c r="E26" i="7" s="1"/>
  <c r="B56" i="11"/>
  <c r="D56" i="11" s="1"/>
  <c r="B59" i="11"/>
  <c r="B50" i="11"/>
  <c r="B26" i="11"/>
  <c r="B6" i="11"/>
  <c r="D6" i="11" s="1"/>
  <c r="B21" i="11"/>
  <c r="B79" i="11"/>
  <c r="D79" i="11" s="1"/>
  <c r="B60" i="11"/>
  <c r="D60" i="11" s="1"/>
  <c r="B39" i="11"/>
  <c r="B31" i="11"/>
  <c r="B18" i="11"/>
  <c r="B66" i="11"/>
  <c r="B69" i="11"/>
  <c r="B48" i="11"/>
  <c r="D48" i="11" s="1"/>
  <c r="B51" i="11"/>
  <c r="B40" i="11"/>
  <c r="D40" i="11" s="1"/>
  <c r="B27" i="11"/>
  <c r="B7" i="11"/>
  <c r="B10" i="11"/>
  <c r="B30" i="11"/>
  <c r="D30" i="11" s="1"/>
  <c r="B76" i="11"/>
  <c r="D76" i="11" s="1"/>
  <c r="B70" i="11"/>
  <c r="D70" i="11" s="1"/>
  <c r="B57" i="11"/>
  <c r="D57" i="11" s="1"/>
  <c r="B36" i="11"/>
  <c r="D36" i="11" s="1"/>
  <c r="B28" i="11"/>
  <c r="D28" i="11" s="1"/>
  <c r="B16" i="11"/>
  <c r="D16" i="11" s="1"/>
  <c r="B19" i="11"/>
  <c r="D19" i="11" s="1"/>
  <c r="B80" i="11"/>
  <c r="D80" i="11" s="1"/>
  <c r="B67" i="11"/>
  <c r="D67" i="11" s="1"/>
  <c r="B61" i="11"/>
  <c r="B20" i="11"/>
  <c r="D20" i="11" s="1"/>
  <c r="B8" i="11"/>
  <c r="D8" i="11" s="1"/>
  <c r="B11" i="11"/>
  <c r="D11" i="11" s="1"/>
  <c r="B9" i="11"/>
  <c r="D9" i="11" s="1"/>
  <c r="B71" i="11"/>
  <c r="D71" i="11" s="1"/>
  <c r="B46" i="11"/>
  <c r="D46" i="11" s="1"/>
  <c r="B49" i="11"/>
  <c r="D49" i="11" s="1"/>
  <c r="B41" i="11"/>
  <c r="D41" i="11" s="1"/>
  <c r="B38" i="11"/>
  <c r="D38" i="11" s="1"/>
  <c r="B77" i="11"/>
  <c r="B58" i="11"/>
  <c r="B37" i="11"/>
  <c r="B29" i="11"/>
  <c r="D29" i="11" s="1"/>
  <c r="B17" i="11"/>
  <c r="D17" i="11" s="1"/>
  <c r="B78" i="11"/>
  <c r="D78" i="11" s="1"/>
  <c r="B81" i="11"/>
  <c r="D81" i="11" s="1"/>
  <c r="B68" i="11"/>
  <c r="D68" i="11" s="1"/>
  <c r="B47" i="11"/>
  <c r="D47" i="11" s="1"/>
  <c r="C79" i="11"/>
  <c r="D49" i="4"/>
  <c r="D7" i="4"/>
  <c r="J6" i="3"/>
  <c r="D51" i="4"/>
  <c r="D38" i="4"/>
  <c r="D89" i="4"/>
  <c r="D21" i="4"/>
  <c r="D5" i="4"/>
  <c r="D47" i="4"/>
  <c r="D61" i="4"/>
  <c r="D48" i="4"/>
  <c r="D9" i="4"/>
  <c r="D79" i="4"/>
  <c r="D77" i="4"/>
  <c r="D76" i="4"/>
  <c r="D23" i="4"/>
  <c r="D75" i="4"/>
  <c r="D62" i="4"/>
  <c r="D80" i="4"/>
  <c r="D35" i="4"/>
  <c r="D50" i="4"/>
  <c r="D24" i="4"/>
  <c r="D94" i="4"/>
  <c r="D65" i="4"/>
  <c r="D19" i="4"/>
  <c r="D33" i="4"/>
  <c r="Q17" i="7"/>
  <c r="Q15" i="7"/>
  <c r="Q14" i="7"/>
  <c r="S23" i="7"/>
  <c r="S22" i="7"/>
  <c r="B10" i="8"/>
  <c r="B6" i="8"/>
  <c r="B7" i="8"/>
  <c r="B8" i="8"/>
  <c r="B9" i="8"/>
  <c r="B5" i="8"/>
  <c r="D27" i="7" l="1"/>
  <c r="E27" i="7" s="1"/>
  <c r="C11" i="11"/>
  <c r="C29" i="11"/>
  <c r="C80" i="11"/>
  <c r="R15" i="7"/>
  <c r="D19" i="7"/>
  <c r="E19" i="7" s="1"/>
  <c r="R17" i="7"/>
  <c r="K19" i="7"/>
  <c r="L19" i="7" s="1"/>
  <c r="R14" i="7"/>
  <c r="D18" i="7"/>
  <c r="E18" i="7" s="1"/>
  <c r="C49" i="11"/>
  <c r="C28" i="11"/>
  <c r="C41" i="11"/>
  <c r="C19" i="11"/>
  <c r="C20" i="11"/>
  <c r="C67" i="11"/>
  <c r="C68" i="11"/>
  <c r="H10" i="3"/>
  <c r="C94" i="4"/>
  <c r="E47" i="5" s="1"/>
  <c r="H7" i="3"/>
  <c r="C91" i="4"/>
  <c r="E44" i="5" s="1"/>
  <c r="D7" i="3"/>
  <c r="C35" i="4"/>
  <c r="E18" i="5" s="1"/>
  <c r="B5" i="3"/>
  <c r="C5" i="4"/>
  <c r="E2" i="5" s="1"/>
  <c r="C10" i="11"/>
  <c r="D10" i="11"/>
  <c r="C66" i="11"/>
  <c r="D66" i="11"/>
  <c r="C30" i="11"/>
  <c r="C57" i="11"/>
  <c r="C78" i="11"/>
  <c r="C23" i="4"/>
  <c r="E13" i="5" s="1"/>
  <c r="C9" i="3"/>
  <c r="C6" i="4"/>
  <c r="E3" i="5" s="1"/>
  <c r="B6" i="3"/>
  <c r="C21" i="4"/>
  <c r="E11" i="5" s="1"/>
  <c r="C7" i="3"/>
  <c r="C7" i="11"/>
  <c r="D7" i="11"/>
  <c r="C18" i="11"/>
  <c r="D18" i="11"/>
  <c r="C26" i="11"/>
  <c r="D26" i="11"/>
  <c r="C47" i="11"/>
  <c r="C46" i="11"/>
  <c r="C77" i="11"/>
  <c r="D77" i="11"/>
  <c r="H80" i="11" s="1"/>
  <c r="C9" i="11"/>
  <c r="C22" i="4"/>
  <c r="E12" i="5" s="1"/>
  <c r="C8" i="3"/>
  <c r="C38" i="4"/>
  <c r="E21" i="5" s="1"/>
  <c r="D10" i="3"/>
  <c r="B9" i="3"/>
  <c r="C9" i="4"/>
  <c r="E6" i="5" s="1"/>
  <c r="C40" i="11"/>
  <c r="C27" i="11"/>
  <c r="D27" i="11"/>
  <c r="C31" i="11"/>
  <c r="D31" i="11"/>
  <c r="C50" i="11"/>
  <c r="D50" i="11"/>
  <c r="C16" i="11"/>
  <c r="B8" i="3"/>
  <c r="C8" i="4"/>
  <c r="E5" i="5" s="1"/>
  <c r="C69" i="11"/>
  <c r="D69" i="11"/>
  <c r="E8" i="3"/>
  <c r="C50" i="4"/>
  <c r="E26" i="5" s="1"/>
  <c r="C61" i="11"/>
  <c r="D61" i="11"/>
  <c r="C33" i="4"/>
  <c r="E16" i="5" s="1"/>
  <c r="D5" i="3"/>
  <c r="C37" i="4"/>
  <c r="E20" i="5" s="1"/>
  <c r="D9" i="3"/>
  <c r="C39" i="11"/>
  <c r="D39" i="11"/>
  <c r="C59" i="11"/>
  <c r="D59" i="11"/>
  <c r="C8" i="11"/>
  <c r="C36" i="11"/>
  <c r="C37" i="11"/>
  <c r="D37" i="11"/>
  <c r="C47" i="4"/>
  <c r="E23" i="5" s="1"/>
  <c r="E5" i="3"/>
  <c r="C70" i="11"/>
  <c r="C62" i="4"/>
  <c r="E30" i="5" s="1"/>
  <c r="F6" i="3"/>
  <c r="C51" i="11"/>
  <c r="D51" i="11"/>
  <c r="F9" i="3"/>
  <c r="C65" i="4"/>
  <c r="E33" i="5" s="1"/>
  <c r="F5" i="3"/>
  <c r="C61" i="4"/>
  <c r="E29" i="5" s="1"/>
  <c r="C76" i="11"/>
  <c r="C48" i="4"/>
  <c r="E24" i="5" s="1"/>
  <c r="E6" i="3"/>
  <c r="C58" i="11"/>
  <c r="D58" i="11"/>
  <c r="G10" i="3"/>
  <c r="C80" i="4"/>
  <c r="E41" i="5" s="1"/>
  <c r="G6" i="3"/>
  <c r="C76" i="4"/>
  <c r="E37" i="5" s="1"/>
  <c r="C79" i="4"/>
  <c r="E40" i="5" s="1"/>
  <c r="G9" i="3"/>
  <c r="E7" i="3"/>
  <c r="C49" i="4"/>
  <c r="E25" i="5" s="1"/>
  <c r="C92" i="4"/>
  <c r="E45" i="5" s="1"/>
  <c r="H8" i="3"/>
  <c r="C81" i="11"/>
  <c r="C48" i="11"/>
  <c r="C6" i="11"/>
  <c r="C77" i="4"/>
  <c r="E38" i="5" s="1"/>
  <c r="G7" i="3"/>
  <c r="C71" i="11"/>
  <c r="C93" i="4"/>
  <c r="E46" i="5" s="1"/>
  <c r="H9" i="3"/>
  <c r="H5" i="3"/>
  <c r="C89" i="4"/>
  <c r="E42" i="5" s="1"/>
  <c r="C60" i="11"/>
  <c r="C21" i="11"/>
  <c r="D21" i="11"/>
  <c r="C17" i="11"/>
  <c r="C38" i="11"/>
  <c r="C56" i="11"/>
  <c r="S15" i="7"/>
  <c r="S17" i="7"/>
  <c r="S14" i="7"/>
  <c r="H47" i="11" l="1"/>
  <c r="H9" i="11"/>
  <c r="H19" i="11"/>
  <c r="H46" i="11"/>
  <c r="H7" i="11"/>
  <c r="H16" i="11"/>
  <c r="H60" i="11"/>
  <c r="H8" i="11"/>
  <c r="C5" i="3"/>
  <c r="C19" i="4"/>
  <c r="E9" i="5" s="1"/>
  <c r="H28" i="11"/>
  <c r="H26" i="11"/>
  <c r="H11" i="11"/>
  <c r="F8" i="3"/>
  <c r="H59" i="11"/>
  <c r="C64" i="4"/>
  <c r="E32" i="5" s="1"/>
  <c r="C66" i="4"/>
  <c r="E34" i="5" s="1"/>
  <c r="F10" i="3"/>
  <c r="H61" i="11"/>
  <c r="C7" i="4"/>
  <c r="E4" i="5" s="1"/>
  <c r="B7" i="3"/>
  <c r="H20" i="11"/>
  <c r="H18" i="11"/>
  <c r="H17" i="11"/>
  <c r="C51" i="4"/>
  <c r="E27" i="5" s="1"/>
  <c r="E9" i="3"/>
  <c r="I9" i="3" s="1"/>
  <c r="H50" i="11"/>
  <c r="H30" i="11"/>
  <c r="G5" i="3"/>
  <c r="C75" i="4"/>
  <c r="E36" i="5" s="1"/>
  <c r="H67" i="11"/>
  <c r="H71" i="11"/>
  <c r="H68" i="11"/>
  <c r="H66" i="11"/>
  <c r="C36" i="4"/>
  <c r="E19" i="5" s="1"/>
  <c r="D8" i="3"/>
  <c r="H39" i="11"/>
  <c r="C90" i="4"/>
  <c r="E43" i="5" s="1"/>
  <c r="H6" i="3"/>
  <c r="H77" i="11"/>
  <c r="H81" i="11"/>
  <c r="H78" i="11"/>
  <c r="H76" i="11"/>
  <c r="H6" i="11"/>
  <c r="H48" i="11"/>
  <c r="C6" i="3"/>
  <c r="C20" i="4"/>
  <c r="E10" i="5" s="1"/>
  <c r="H27" i="11"/>
  <c r="C10" i="4"/>
  <c r="E7" i="5" s="1"/>
  <c r="B10" i="3"/>
  <c r="H21" i="11"/>
  <c r="C63" i="4"/>
  <c r="E31" i="5" s="1"/>
  <c r="F7" i="3"/>
  <c r="H57" i="11"/>
  <c r="H56" i="11"/>
  <c r="H58" i="11"/>
  <c r="D6" i="3"/>
  <c r="C34" i="4"/>
  <c r="E17" i="5" s="1"/>
  <c r="H36" i="11"/>
  <c r="H40" i="11"/>
  <c r="H41" i="11"/>
  <c r="H38" i="11"/>
  <c r="H37" i="11"/>
  <c r="C10" i="3"/>
  <c r="C24" i="4"/>
  <c r="E14" i="5" s="1"/>
  <c r="H31" i="11"/>
  <c r="H10" i="11"/>
  <c r="H70" i="11"/>
  <c r="C52" i="4"/>
  <c r="E28" i="5" s="1"/>
  <c r="E10" i="3"/>
  <c r="H51" i="11"/>
  <c r="G8" i="3"/>
  <c r="H69" i="11"/>
  <c r="C78" i="4"/>
  <c r="E39" i="5" s="1"/>
  <c r="H29" i="11"/>
  <c r="H49" i="11"/>
  <c r="H79" i="11"/>
  <c r="Q19" i="7"/>
  <c r="K20" i="7" s="1"/>
  <c r="Q26" i="7"/>
  <c r="D28" i="7" s="1"/>
  <c r="Q18" i="7"/>
  <c r="D20" i="7" s="1"/>
  <c r="Q20" i="7" s="1"/>
  <c r="I8" i="3" l="1"/>
  <c r="I6" i="3"/>
  <c r="I7" i="3"/>
  <c r="I10" i="3"/>
  <c r="I5" i="3"/>
  <c r="Q27" i="7"/>
  <c r="K28" i="7" s="1"/>
  <c r="Q28" i="7" s="1"/>
  <c r="K6" i="3" l="1"/>
  <c r="L6" i="3" s="1"/>
  <c r="K9" i="3" l="1"/>
  <c r="L9" i="3" s="1"/>
  <c r="K10" i="3"/>
  <c r="L10" i="3" s="1"/>
  <c r="K8" i="3" s="1"/>
  <c r="L8" i="3" s="1"/>
  <c r="K7" i="3" s="1"/>
  <c r="L7" i="3" s="1"/>
  <c r="K5" i="3" s="1"/>
  <c r="B16" i="3" s="1"/>
  <c r="E19" i="4"/>
  <c r="G9" i="5" s="1"/>
  <c r="E35" i="4"/>
  <c r="E51" i="4"/>
  <c r="E75" i="4"/>
  <c r="G36" i="5" s="1"/>
  <c r="E91" i="4"/>
  <c r="E20" i="4"/>
  <c r="E36" i="4"/>
  <c r="E52" i="4"/>
  <c r="E76" i="4"/>
  <c r="E92" i="4"/>
  <c r="E5" i="4"/>
  <c r="G2" i="5" s="1"/>
  <c r="E6" i="4"/>
  <c r="E22" i="4"/>
  <c r="E38" i="4"/>
  <c r="E62" i="4"/>
  <c r="E78" i="4"/>
  <c r="E94" i="4"/>
  <c r="E37" i="4"/>
  <c r="E93" i="4"/>
  <c r="E7" i="4"/>
  <c r="E23" i="4"/>
  <c r="E47" i="4"/>
  <c r="G23" i="5" s="1"/>
  <c r="E63" i="4"/>
  <c r="E79" i="4"/>
  <c r="E8" i="4"/>
  <c r="E24" i="4"/>
  <c r="E48" i="4"/>
  <c r="E64" i="4"/>
  <c r="E80" i="4"/>
  <c r="E77" i="4"/>
  <c r="E9" i="4"/>
  <c r="E33" i="4"/>
  <c r="G16" i="5" s="1"/>
  <c r="E49" i="4"/>
  <c r="E65" i="4"/>
  <c r="E89" i="4"/>
  <c r="G42" i="5" s="1"/>
  <c r="E21" i="4"/>
  <c r="E61" i="4"/>
  <c r="G29" i="5" s="1"/>
  <c r="E10" i="4"/>
  <c r="E34" i="4"/>
  <c r="E50" i="4"/>
  <c r="E66" i="4"/>
  <c r="E90" i="4"/>
  <c r="F66" i="4" l="1"/>
  <c r="G34" i="5"/>
  <c r="H34" i="5" s="1"/>
  <c r="F49" i="4"/>
  <c r="G25" i="5"/>
  <c r="H25" i="5" s="1"/>
  <c r="F6" i="4"/>
  <c r="G3" i="5"/>
  <c r="H3" i="5" s="1"/>
  <c r="F34" i="4"/>
  <c r="G17" i="5"/>
  <c r="H17" i="5" s="1"/>
  <c r="F24" i="4"/>
  <c r="G14" i="5"/>
  <c r="H14" i="5" s="1"/>
  <c r="F37" i="4"/>
  <c r="G20" i="5"/>
  <c r="H20" i="5" s="1"/>
  <c r="F7" i="4"/>
  <c r="G4" i="5"/>
  <c r="H4" i="5" s="1"/>
  <c r="F50" i="4"/>
  <c r="G26" i="5"/>
  <c r="H26" i="5" s="1"/>
  <c r="F93" i="4"/>
  <c r="G46" i="5"/>
  <c r="H46" i="5" s="1"/>
  <c r="F91" i="4"/>
  <c r="G44" i="5"/>
  <c r="H44" i="5" s="1"/>
  <c r="F10" i="4"/>
  <c r="G7" i="5"/>
  <c r="H7" i="5" s="1"/>
  <c r="F9" i="4"/>
  <c r="G6" i="5"/>
  <c r="H6" i="5" s="1"/>
  <c r="F8" i="4"/>
  <c r="G5" i="5"/>
  <c r="H5" i="5" s="1"/>
  <c r="F94" i="4"/>
  <c r="G47" i="5"/>
  <c r="H47" i="5" s="1"/>
  <c r="F92" i="4"/>
  <c r="G45" i="5"/>
  <c r="H45" i="5" s="1"/>
  <c r="F51" i="4"/>
  <c r="G27" i="5"/>
  <c r="H27" i="5" s="1"/>
  <c r="F90" i="4"/>
  <c r="G43" i="5"/>
  <c r="H43" i="5" s="1"/>
  <c r="F20" i="4"/>
  <c r="G10" i="5"/>
  <c r="H10" i="5" s="1"/>
  <c r="F79" i="4"/>
  <c r="G40" i="5"/>
  <c r="H40" i="5" s="1"/>
  <c r="F76" i="4"/>
  <c r="G37" i="5"/>
  <c r="H37" i="5" s="1"/>
  <c r="F35" i="4"/>
  <c r="G18" i="5"/>
  <c r="F22" i="4"/>
  <c r="G12" i="5"/>
  <c r="H12" i="5" s="1"/>
  <c r="F48" i="4"/>
  <c r="G24" i="5"/>
  <c r="H24" i="5" s="1"/>
  <c r="F78" i="4"/>
  <c r="G39" i="5"/>
  <c r="H39" i="5" s="1"/>
  <c r="F21" i="4"/>
  <c r="G11" i="5"/>
  <c r="H11" i="5" s="1"/>
  <c r="F77" i="4"/>
  <c r="G38" i="5"/>
  <c r="H38" i="5" s="1"/>
  <c r="F63" i="4"/>
  <c r="G31" i="5"/>
  <c r="H31" i="5" s="1"/>
  <c r="F62" i="4"/>
  <c r="G30" i="5"/>
  <c r="H30" i="5" s="1"/>
  <c r="F80" i="4"/>
  <c r="G41" i="5"/>
  <c r="H41" i="5" s="1"/>
  <c r="F52" i="4"/>
  <c r="G28" i="5"/>
  <c r="H28" i="5" s="1"/>
  <c r="F65" i="4"/>
  <c r="G33" i="5"/>
  <c r="H33" i="5" s="1"/>
  <c r="F64" i="4"/>
  <c r="G32" i="5"/>
  <c r="H32" i="5" s="1"/>
  <c r="F23" i="4"/>
  <c r="G13" i="5"/>
  <c r="H13" i="5" s="1"/>
  <c r="F38" i="4"/>
  <c r="G21" i="5"/>
  <c r="H21" i="5" s="1"/>
  <c r="F36" i="4"/>
  <c r="G19" i="5"/>
  <c r="H19" i="5" s="1"/>
  <c r="H23" i="5"/>
  <c r="H42" i="5"/>
  <c r="H16" i="5"/>
  <c r="B17" i="3"/>
  <c r="D17" i="3" s="1"/>
  <c r="L5" i="3"/>
  <c r="B15" i="3"/>
  <c r="D15" i="3" s="1"/>
  <c r="B18" i="3"/>
  <c r="C18" i="3" s="1"/>
  <c r="H29" i="5"/>
  <c r="I77" i="4"/>
  <c r="F75" i="4"/>
  <c r="I76" i="4"/>
  <c r="I78" i="4"/>
  <c r="I75" i="4"/>
  <c r="I63" i="4"/>
  <c r="I61" i="4"/>
  <c r="F61" i="4"/>
  <c r="I62" i="4"/>
  <c r="I64" i="4"/>
  <c r="I34" i="4"/>
  <c r="I35" i="4"/>
  <c r="I36" i="4"/>
  <c r="F33" i="4"/>
  <c r="I33" i="4"/>
  <c r="C16" i="3"/>
  <c r="D16" i="3"/>
  <c r="H18" i="5"/>
  <c r="F89" i="4"/>
  <c r="I91" i="4"/>
  <c r="I92" i="4"/>
  <c r="I89" i="4"/>
  <c r="I90" i="4"/>
  <c r="F5" i="4"/>
  <c r="I5" i="4"/>
  <c r="I6" i="4"/>
  <c r="I7" i="4"/>
  <c r="I8" i="4"/>
  <c r="I48" i="4"/>
  <c r="I50" i="4"/>
  <c r="I49" i="4"/>
  <c r="F47" i="4"/>
  <c r="I47" i="4"/>
  <c r="I21" i="4"/>
  <c r="I19" i="4"/>
  <c r="I20" i="4"/>
  <c r="I22" i="4"/>
  <c r="F19" i="4"/>
  <c r="C40" i="6" l="1" a="1"/>
  <c r="C29" i="6" a="1"/>
  <c r="D29" i="6" a="1"/>
  <c r="D40" i="6" a="1"/>
  <c r="C41" i="6" a="1"/>
  <c r="C15" i="3"/>
  <c r="C42" i="6" a="1"/>
  <c r="D42" i="6" a="1"/>
  <c r="D41" i="6" a="1"/>
  <c r="H36" i="5"/>
  <c r="D23" i="6"/>
  <c r="C23" i="6"/>
  <c r="L11" i="7" s="1"/>
  <c r="B23" i="6"/>
  <c r="K11" i="7" s="1"/>
  <c r="F23" i="6"/>
  <c r="E23" i="6"/>
  <c r="D43" i="6" a="1"/>
  <c r="C43" i="6" a="1"/>
  <c r="C17" i="3"/>
  <c r="D18" i="3"/>
  <c r="C20" i="6"/>
  <c r="E11" i="7" s="1"/>
  <c r="R11" i="7" s="1"/>
  <c r="E13" i="7" s="1"/>
  <c r="D20" i="6"/>
  <c r="F27" i="6" a="1"/>
  <c r="F20" i="6"/>
  <c r="B20" i="6"/>
  <c r="D11" i="7" s="1"/>
  <c r="Q11" i="7" s="1"/>
  <c r="D13" i="7" s="1"/>
  <c r="E20" i="6"/>
  <c r="C22" i="6"/>
  <c r="L12" i="7" s="1"/>
  <c r="G27" i="6" a="1"/>
  <c r="C16" i="6"/>
  <c r="L8" i="7" s="1"/>
  <c r="R8" i="7" s="1"/>
  <c r="E10" i="7" s="1"/>
  <c r="B14" i="6"/>
  <c r="D9" i="7" s="1"/>
  <c r="F14" i="6"/>
  <c r="F16" i="6"/>
  <c r="D14" i="6"/>
  <c r="H9" i="5"/>
  <c r="C14" i="6"/>
  <c r="E9" i="7" s="1"/>
  <c r="D15" i="6"/>
  <c r="E16" i="6"/>
  <c r="C13" i="6"/>
  <c r="E8" i="7" s="1"/>
  <c r="C15" i="6"/>
  <c r="L9" i="7" s="1"/>
  <c r="F13" i="6"/>
  <c r="B15" i="6"/>
  <c r="K9" i="7" s="1"/>
  <c r="E15" i="6"/>
  <c r="D16" i="6"/>
  <c r="D13" i="6"/>
  <c r="B16" i="6"/>
  <c r="K8" i="7" s="1"/>
  <c r="Q8" i="7" s="1"/>
  <c r="D10" i="7" s="1"/>
  <c r="F15" i="6"/>
  <c r="E13" i="6"/>
  <c r="E14" i="6"/>
  <c r="B13" i="6"/>
  <c r="D8" i="7" s="1"/>
  <c r="K49" i="4"/>
  <c r="J49" i="4"/>
  <c r="J5" i="4"/>
  <c r="K5" i="4"/>
  <c r="J92" i="4"/>
  <c r="K92" i="4"/>
  <c r="J33" i="4"/>
  <c r="K33" i="4"/>
  <c r="C21" i="6"/>
  <c r="E12" i="7" s="1"/>
  <c r="F21" i="6"/>
  <c r="G40" i="6" a="1"/>
  <c r="G43" i="6" a="1"/>
  <c r="J63" i="4"/>
  <c r="K63" i="4"/>
  <c r="F30" i="6" a="1"/>
  <c r="C30" i="6" a="1"/>
  <c r="J22" i="4"/>
  <c r="K22" i="4"/>
  <c r="K50" i="4"/>
  <c r="J50" i="4"/>
  <c r="J91" i="4"/>
  <c r="K91" i="4"/>
  <c r="B22" i="6"/>
  <c r="K12" i="7" s="1"/>
  <c r="F22" i="6"/>
  <c r="J75" i="4"/>
  <c r="K75" i="4"/>
  <c r="D27" i="6" a="1"/>
  <c r="K19" i="4"/>
  <c r="J19" i="4"/>
  <c r="G41" i="6" a="1"/>
  <c r="D28" i="6" a="1"/>
  <c r="K21" i="4"/>
  <c r="J21" i="4"/>
  <c r="E8" i="6"/>
  <c r="D9" i="6"/>
  <c r="C7" i="6"/>
  <c r="E6" i="7" s="1"/>
  <c r="F8" i="6"/>
  <c r="F6" i="6"/>
  <c r="B8" i="6"/>
  <c r="K6" i="7" s="1"/>
  <c r="B9" i="6"/>
  <c r="K5" i="7" s="1"/>
  <c r="C8" i="6"/>
  <c r="L6" i="7" s="1"/>
  <c r="C6" i="6"/>
  <c r="E5" i="7" s="1"/>
  <c r="D7" i="6"/>
  <c r="H2" i="5"/>
  <c r="F9" i="6"/>
  <c r="B7" i="6"/>
  <c r="D6" i="7" s="1"/>
  <c r="E6" i="6"/>
  <c r="C9" i="6"/>
  <c r="L5" i="7" s="1"/>
  <c r="E7" i="6"/>
  <c r="F7" i="6"/>
  <c r="E9" i="6"/>
  <c r="B6" i="6"/>
  <c r="D5" i="7" s="1"/>
  <c r="D8" i="6"/>
  <c r="D6" i="6"/>
  <c r="K34" i="4"/>
  <c r="J34" i="4"/>
  <c r="E21" i="6"/>
  <c r="F41" i="6" a="1"/>
  <c r="K64" i="4"/>
  <c r="J64" i="4"/>
  <c r="K48" i="4"/>
  <c r="J48" i="4"/>
  <c r="J78" i="4"/>
  <c r="K78" i="4"/>
  <c r="F28" i="6" a="1"/>
  <c r="K8" i="4"/>
  <c r="J8" i="4"/>
  <c r="F42" i="6" a="1"/>
  <c r="G42" i="6" a="1"/>
  <c r="K62" i="4"/>
  <c r="J62" i="4"/>
  <c r="K77" i="4"/>
  <c r="J77" i="4"/>
  <c r="C27" i="6" a="1"/>
  <c r="G29" i="6" a="1"/>
  <c r="J36" i="4"/>
  <c r="K36" i="4"/>
  <c r="K76" i="4"/>
  <c r="J76" i="4"/>
  <c r="J47" i="4"/>
  <c r="K47" i="4"/>
  <c r="K7" i="4"/>
  <c r="J7" i="4"/>
  <c r="J90" i="4"/>
  <c r="K90" i="4"/>
  <c r="F43" i="6" a="1"/>
  <c r="G28" i="6" a="1"/>
  <c r="F29" i="6" a="1"/>
  <c r="G30" i="6" a="1"/>
  <c r="K20" i="4"/>
  <c r="J20" i="4"/>
  <c r="K35" i="4"/>
  <c r="J35" i="4"/>
  <c r="D22" i="6"/>
  <c r="J6" i="4"/>
  <c r="K6" i="4"/>
  <c r="J89" i="4"/>
  <c r="K89" i="4"/>
  <c r="B21" i="6"/>
  <c r="D12" i="7" s="1"/>
  <c r="E22" i="6"/>
  <c r="D21" i="6"/>
  <c r="F40" i="6" a="1"/>
  <c r="J61" i="4"/>
  <c r="K61" i="4"/>
  <c r="C28" i="6" a="1"/>
  <c r="D30" i="6" a="1"/>
  <c r="Q9" i="7" l="1"/>
  <c r="K10" i="7" s="1"/>
  <c r="Q10" i="7" s="1"/>
  <c r="Q6" i="7"/>
  <c r="K7" i="7" s="1"/>
  <c r="R5" i="7"/>
  <c r="R9" i="7"/>
  <c r="L10" i="7" s="1"/>
  <c r="R10" i="7" s="1"/>
  <c r="Q5" i="7"/>
  <c r="D7" i="7" s="1"/>
  <c r="Q7" i="7" s="1"/>
  <c r="R6" i="7"/>
  <c r="L7" i="7" s="1"/>
  <c r="R12" i="7"/>
  <c r="L13" i="7" s="1"/>
  <c r="R13" i="7" s="1"/>
  <c r="Q12" i="7"/>
  <c r="K13" i="7" s="1"/>
  <c r="Q13" i="7" s="1"/>
  <c r="E7" i="7"/>
  <c r="R7" i="7" l="1"/>
  <c r="R18" i="7"/>
  <c r="R27" i="7"/>
  <c r="L28" i="7" s="1"/>
  <c r="R28" i="7" s="1"/>
  <c r="R19" i="7"/>
  <c r="L20" i="7" s="1"/>
  <c r="R26" i="7"/>
  <c r="E20" i="7" l="1"/>
  <c r="E28" i="7"/>
  <c r="R20" i="7" l="1"/>
  <c r="E5" i="8" l="1"/>
  <c r="G5" i="8" s="1"/>
  <c r="E7" i="8"/>
  <c r="G7" i="8" s="1"/>
  <c r="E8" i="8"/>
  <c r="G8" i="8" s="1"/>
  <c r="E9" i="8"/>
  <c r="G9" i="8" s="1"/>
  <c r="E6" i="8"/>
  <c r="G6" i="8" s="1"/>
  <c r="E10" i="8"/>
  <c r="G10" i="8" s="1"/>
  <c r="G43" i="6" l="1"/>
  <c r="L25" i="7" s="1"/>
  <c r="F43" i="6"/>
  <c r="K25" i="7" s="1"/>
  <c r="D43" i="6"/>
  <c r="C43" i="6"/>
  <c r="D25" i="7" s="1"/>
  <c r="Q25" i="7" s="1"/>
  <c r="G42" i="6"/>
  <c r="F42" i="6"/>
  <c r="K24" i="7" s="1"/>
  <c r="Q24" i="7" s="1"/>
  <c r="D42" i="6"/>
  <c r="E24" i="7" s="1"/>
  <c r="C42" i="6"/>
  <c r="G41" i="6"/>
  <c r="L23" i="7" s="1"/>
  <c r="F41" i="6"/>
  <c r="K23" i="7" s="1"/>
  <c r="T23" i="7" s="1"/>
  <c r="D41" i="6"/>
  <c r="C41" i="6"/>
  <c r="D23" i="7" s="1"/>
  <c r="G40" i="6"/>
  <c r="F40" i="6"/>
  <c r="K22" i="7" s="1"/>
  <c r="D40" i="6"/>
  <c r="C40" i="6"/>
  <c r="G30" i="6"/>
  <c r="F30" i="6"/>
  <c r="K17" i="7" s="1"/>
  <c r="T17" i="7" s="1"/>
  <c r="D30" i="6"/>
  <c r="C30" i="6"/>
  <c r="D17" i="7" s="1"/>
  <c r="G29" i="6"/>
  <c r="L16" i="7" s="1"/>
  <c r="F29" i="6"/>
  <c r="K16" i="7" s="1"/>
  <c r="Q16" i="7" s="1"/>
  <c r="D29" i="6"/>
  <c r="C29" i="6"/>
  <c r="D16" i="7" s="1"/>
  <c r="G28" i="6"/>
  <c r="L15" i="7" s="1"/>
  <c r="F28" i="6"/>
  <c r="K15" i="7" s="1"/>
  <c r="D28" i="6"/>
  <c r="E15" i="7" s="1"/>
  <c r="C28" i="6"/>
  <c r="D15" i="7" s="1"/>
  <c r="T15" i="7" s="1"/>
  <c r="G27" i="6"/>
  <c r="F27" i="6"/>
  <c r="K14" i="7" s="1"/>
  <c r="T14" i="7" s="1"/>
  <c r="D27" i="6"/>
  <c r="E14" i="7" s="1"/>
  <c r="C27" i="6"/>
  <c r="E17" i="7" l="1"/>
  <c r="L17" i="7"/>
  <c r="L24" i="7" s="1"/>
  <c r="L14" i="7" s="1"/>
  <c r="D14" i="7" s="1"/>
  <c r="S25" i="7"/>
  <c r="K27" i="7"/>
  <c r="K18" i="7"/>
  <c r="R16" i="7"/>
  <c r="S16" i="7"/>
  <c r="T16" i="7" s="1"/>
  <c r="E22" i="7"/>
  <c r="D24" i="7" s="1"/>
  <c r="S24" i="7" s="1"/>
  <c r="T24" i="7" s="1"/>
  <c r="E23" i="7"/>
  <c r="K26" i="7"/>
  <c r="E16" i="7"/>
  <c r="E25" i="7"/>
  <c r="L22" i="7" s="1"/>
  <c r="D22" i="7" s="1"/>
  <c r="T22" i="7" s="1"/>
  <c r="R24" i="7" l="1"/>
  <c r="L26" i="7" s="1"/>
  <c r="T25" i="7"/>
  <c r="L18" i="7"/>
  <c r="C8" i="8" s="1"/>
  <c r="D8" i="8" s="1"/>
  <c r="R25" i="7"/>
  <c r="L27" i="7" s="1"/>
  <c r="F9" i="8" l="1" a="1"/>
  <c r="F5" i="8" a="1"/>
  <c r="F6" i="8" a="1"/>
  <c r="C9" i="8"/>
  <c r="D9" i="8" s="1"/>
  <c r="F10" i="8" a="1"/>
  <c r="F7" i="8" a="1"/>
  <c r="C10" i="8"/>
  <c r="D10" i="8" s="1"/>
  <c r="C6" i="8"/>
  <c r="D6" i="8" s="1"/>
  <c r="F8" i="8" a="1"/>
  <c r="C5" i="8"/>
  <c r="D5" i="8" s="1"/>
  <c r="C7" i="8"/>
  <c r="D7" i="8" s="1"/>
  <c r="F7" i="8" l="1"/>
  <c r="H7" i="8" s="1"/>
  <c r="I7" i="8" s="1"/>
  <c r="F10" i="8"/>
  <c r="H10" i="8" s="1"/>
  <c r="I10" i="8" s="1"/>
  <c r="F8" i="8"/>
  <c r="H8" i="8" s="1"/>
  <c r="I8" i="8" s="1"/>
  <c r="F5" i="8"/>
  <c r="H5" i="8" s="1"/>
  <c r="I5" i="8" s="1"/>
  <c r="J5" i="8" s="1"/>
  <c r="F6" i="8"/>
  <c r="H6" i="8" s="1"/>
  <c r="I6" i="8" s="1"/>
  <c r="F9" i="8"/>
  <c r="H9" i="8" s="1"/>
  <c r="I9" i="8" s="1"/>
  <c r="J6" i="8" l="1"/>
  <c r="J8" i="8"/>
  <c r="J9" i="8"/>
  <c r="J10" i="8"/>
  <c r="J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<sst xmlns="http://schemas.openxmlformats.org/spreadsheetml/2006/main" count="2229" uniqueCount="249">
  <si>
    <t>Day</t>
  </si>
  <si>
    <t>Timing</t>
  </si>
  <si>
    <t>Team 1</t>
  </si>
  <si>
    <t>Team 2</t>
  </si>
  <si>
    <t>Format</t>
  </si>
  <si>
    <t>Participant 1</t>
  </si>
  <si>
    <t>Participant 2</t>
  </si>
  <si>
    <t>Winner</t>
  </si>
  <si>
    <t>Score</t>
  </si>
  <si>
    <t>Winning Team</t>
  </si>
  <si>
    <t>Day 1</t>
  </si>
  <si>
    <t>Lunch Break</t>
  </si>
  <si>
    <t>A1</t>
  </si>
  <si>
    <t>A2</t>
  </si>
  <si>
    <t>A1+A2</t>
  </si>
  <si>
    <t>Women's Singles</t>
  </si>
  <si>
    <t>Women's Doubles</t>
  </si>
  <si>
    <t>Mixed Doubles</t>
  </si>
  <si>
    <t>Men's Singles 1</t>
  </si>
  <si>
    <t>Men's Singles 2</t>
  </si>
  <si>
    <t>Men's Doubles 1</t>
  </si>
  <si>
    <t>Men's Doubles 2</t>
  </si>
  <si>
    <t>Post Office Hours</t>
  </si>
  <si>
    <t>A3</t>
  </si>
  <si>
    <t>B3</t>
  </si>
  <si>
    <t>A3+B3</t>
  </si>
  <si>
    <t>Day 2</t>
  </si>
  <si>
    <t>B1</t>
  </si>
  <si>
    <t>B2</t>
  </si>
  <si>
    <t>B1+B2</t>
  </si>
  <si>
    <t>A1+A3</t>
  </si>
  <si>
    <t>Day 3</t>
  </si>
  <si>
    <t>A2+B1</t>
  </si>
  <si>
    <t>B2+B3</t>
  </si>
  <si>
    <t>Day 4</t>
  </si>
  <si>
    <t>A1+B1</t>
  </si>
  <si>
    <t>A3+B2</t>
  </si>
  <si>
    <t>Day 5</t>
  </si>
  <si>
    <t>A2+B3</t>
  </si>
  <si>
    <t>A1+B2</t>
  </si>
  <si>
    <t>Day 6</t>
  </si>
  <si>
    <t>A2+A3</t>
  </si>
  <si>
    <t>B1+B3</t>
  </si>
  <si>
    <t>Day 7</t>
  </si>
  <si>
    <t>A1+B3</t>
  </si>
  <si>
    <t>A2+B2</t>
  </si>
  <si>
    <t>Day 8</t>
  </si>
  <si>
    <t>A3+B1</t>
  </si>
  <si>
    <t>Matches</t>
  </si>
  <si>
    <t>Score (Team 1-Team 2)</t>
  </si>
  <si>
    <t>Team 5</t>
  </si>
  <si>
    <t>Team 6</t>
  </si>
  <si>
    <t>Team 5+Team 6</t>
  </si>
  <si>
    <t>Yukti + Niranjan</t>
  </si>
  <si>
    <t>Drishti + Sanath</t>
  </si>
  <si>
    <t>21-16</t>
  </si>
  <si>
    <t>Riya</t>
  </si>
  <si>
    <t>Neha P Jain</t>
  </si>
  <si>
    <t>7-21</t>
  </si>
  <si>
    <t>Team 4</t>
  </si>
  <si>
    <t>Team 1+Team 4</t>
  </si>
  <si>
    <t>Amrutha</t>
  </si>
  <si>
    <t>Subashree</t>
  </si>
  <si>
    <t>Team 3</t>
  </si>
  <si>
    <t>Team 3+Team 4</t>
  </si>
  <si>
    <t>Mamta</t>
  </si>
  <si>
    <t>21-19</t>
  </si>
  <si>
    <t>Team 2+Team 3</t>
  </si>
  <si>
    <t>Keerthana + Abhiram</t>
  </si>
  <si>
    <t>Rithu + Darshan Patel</t>
  </si>
  <si>
    <t>Aman Doshi</t>
  </si>
  <si>
    <t>Jay B</t>
  </si>
  <si>
    <t>11-21</t>
  </si>
  <si>
    <t>Amrutha + Neha</t>
  </si>
  <si>
    <t>Subashree + Sanjana</t>
  </si>
  <si>
    <t>Team 4+Team 5</t>
  </si>
  <si>
    <t>21-13</t>
  </si>
  <si>
    <t>Team 3+Team 5</t>
  </si>
  <si>
    <t>Niraj Salot</t>
  </si>
  <si>
    <t>Vidwan</t>
  </si>
  <si>
    <t>Shravanth + Vrishin</t>
  </si>
  <si>
    <t>Nagarajan  + Chandrashaker Joshi</t>
  </si>
  <si>
    <t>Team 2+Team 4</t>
  </si>
  <si>
    <t>Yuvraj + Karthik KB</t>
  </si>
  <si>
    <t>Khush B + Hemanth</t>
  </si>
  <si>
    <t>Team 1+Team 5</t>
  </si>
  <si>
    <t>Nikhil M + Jinendar</t>
  </si>
  <si>
    <t>21-11</t>
  </si>
  <si>
    <t>Team 4+Team 6</t>
  </si>
  <si>
    <t>Neha P Jain + Drishti</t>
  </si>
  <si>
    <t>Team 1+Team 3</t>
  </si>
  <si>
    <t>Mamta + Rithu</t>
  </si>
  <si>
    <t>Team 3+Team 6</t>
  </si>
  <si>
    <t>Kunal D + Anirudha H</t>
  </si>
  <si>
    <t>Neha + Dhruv Jaju</t>
  </si>
  <si>
    <t>Sanjana + Bharatha S</t>
  </si>
  <si>
    <t>Sujal</t>
  </si>
  <si>
    <t>Naman</t>
  </si>
  <si>
    <t>Dhruv C</t>
  </si>
  <si>
    <t>Team 1+Team 6</t>
  </si>
  <si>
    <t>Sreesha + Manan</t>
  </si>
  <si>
    <t>Rohan + Bhuvanesh</t>
  </si>
  <si>
    <t>Team 2+Team 6</t>
  </si>
  <si>
    <t>Avaneesh</t>
  </si>
  <si>
    <t>Navtej</t>
  </si>
  <si>
    <t>Anshul</t>
  </si>
  <si>
    <t>21-14</t>
  </si>
  <si>
    <t>Sarvesh H + Deviprasad</t>
  </si>
  <si>
    <t>Rohith + Darshan H</t>
  </si>
  <si>
    <t>Pavan D</t>
  </si>
  <si>
    <t>21-15</t>
  </si>
  <si>
    <t>Team 2+Team 5</t>
  </si>
  <si>
    <t>21-7</t>
  </si>
  <si>
    <t>Vaishnavi M</t>
  </si>
  <si>
    <t>Team 1+Team 2</t>
  </si>
  <si>
    <t>Saurabh</t>
  </si>
  <si>
    <t>Leela Sagar + Ali Akbar</t>
  </si>
  <si>
    <t>Vaishnavi M + Keerthana</t>
  </si>
  <si>
    <t>Kushal  + Shubham</t>
  </si>
  <si>
    <t>21-12</t>
  </si>
  <si>
    <t>0-21</t>
  </si>
  <si>
    <t>22-20</t>
  </si>
  <si>
    <t>Riya + Yukti</t>
  </si>
  <si>
    <t>16-21</t>
  </si>
  <si>
    <t>17-21</t>
  </si>
  <si>
    <t>15-21</t>
  </si>
  <si>
    <t>4-21</t>
  </si>
  <si>
    <t>14-21</t>
  </si>
  <si>
    <t>2-21</t>
  </si>
  <si>
    <t>Tournament Standings &amp; Qualification</t>
  </si>
  <si>
    <t>Master Score Table</t>
  </si>
  <si>
    <t>Team</t>
  </si>
  <si>
    <t>Total Points</t>
  </si>
  <si>
    <t>Raw Score</t>
  </si>
  <si>
    <t>Rank</t>
  </si>
  <si>
    <t>Status</t>
  </si>
  <si>
    <t>Top 4 Qualifiers</t>
  </si>
  <si>
    <t>Women's Singles Scoreboard</t>
  </si>
  <si>
    <t>Points</t>
  </si>
  <si>
    <t>Top 4 Team</t>
  </si>
  <si>
    <t>Women's Doubles Scoreboard</t>
  </si>
  <si>
    <t>Mixed Doubles Scoreboard</t>
  </si>
  <si>
    <t>Men's Singles 1 Scoreboard</t>
  </si>
  <si>
    <t>Men's Singles 2 Scoreboard</t>
  </si>
  <si>
    <t>Men's Doubles 1 Scoreboard</t>
  </si>
  <si>
    <t>Men's Doubles 2 Scoreboard</t>
  </si>
  <si>
    <t>Category</t>
  </si>
  <si>
    <t>Source Format</t>
  </si>
  <si>
    <t>Player / Pair</t>
  </si>
  <si>
    <t>Men's Singles</t>
  </si>
  <si>
    <t>Men's Doubles</t>
  </si>
  <si>
    <t>Kushal + Shubham</t>
  </si>
  <si>
    <t>Nagarajan + Chandrashaker Joshi</t>
  </si>
  <si>
    <t>Tournament Format Qualifiers</t>
  </si>
  <si>
    <t>Women's Singles — Top 4</t>
  </si>
  <si>
    <t>Status (Manual for Men)</t>
  </si>
  <si>
    <t>Semifinalist</t>
  </si>
  <si>
    <t>Women's Doubles — Top 4</t>
  </si>
  <si>
    <t>Mixed Doubles — Top 4</t>
  </si>
  <si>
    <t>Men's Singles — Cross-format Quarterfinals</t>
  </si>
  <si>
    <t>Match</t>
  </si>
  <si>
    <t>MS1 Rank</t>
  </si>
  <si>
    <t>Men's Singles 1 Player</t>
  </si>
  <si>
    <t>MS2 Rank</t>
  </si>
  <si>
    <t>Men's Singles 2 Player</t>
  </si>
  <si>
    <t>Quarterfinal 1</t>
  </si>
  <si>
    <t>Quarterfinal 2</t>
  </si>
  <si>
    <t>Quarterfinal 3</t>
  </si>
  <si>
    <t>Quarterfinal 4</t>
  </si>
  <si>
    <t>Men's Doubles — Cross-format Quarterfinals</t>
  </si>
  <si>
    <t>MD1 Rank</t>
  </si>
  <si>
    <t>Men's Doubles 1 Pair</t>
  </si>
  <si>
    <t>MD2 Rank</t>
  </si>
  <si>
    <t>Men's Doubles 2 Pair</t>
  </si>
  <si>
    <t>Tournament Finals — Best of Three</t>
  </si>
  <si>
    <t>Round</t>
  </si>
  <si>
    <t>Seed 1</t>
  </si>
  <si>
    <t>Competitor 1</t>
  </si>
  <si>
    <t>Seed 2</t>
  </si>
  <si>
    <t>Competitor 2</t>
  </si>
  <si>
    <t>Cumulative Score</t>
  </si>
  <si>
    <t>Score Rank</t>
  </si>
  <si>
    <t>Semifinal 1</t>
  </si>
  <si>
    <t>Semifinal 2</t>
  </si>
  <si>
    <t>Final</t>
  </si>
  <si>
    <t>SF1 Winner</t>
  </si>
  <si>
    <t>SF2 Winner</t>
  </si>
  <si>
    <t>MS1 #1</t>
  </si>
  <si>
    <t>MS2 #4</t>
  </si>
  <si>
    <t>MS1 #2</t>
  </si>
  <si>
    <t>MS2 #3</t>
  </si>
  <si>
    <t>MS1 #3</t>
  </si>
  <si>
    <t>MS2 #2</t>
  </si>
  <si>
    <t>MS1 #4</t>
  </si>
  <si>
    <t>MS2 #1</t>
  </si>
  <si>
    <t>MD1 #1</t>
  </si>
  <si>
    <t>MD2 #4</t>
  </si>
  <si>
    <t>MD1 #2</t>
  </si>
  <si>
    <t>MD2 #3</t>
  </si>
  <si>
    <t>MD1 #3</t>
  </si>
  <si>
    <t>MD2 #2</t>
  </si>
  <si>
    <t>MD1 #4</t>
  </si>
  <si>
    <t>MD2 #1</t>
  </si>
  <si>
    <t>Best Team — All-Format Tournament Ranking</t>
  </si>
  <si>
    <t>League Wins</t>
  </si>
  <si>
    <t>Event Titles</t>
  </si>
  <si>
    <t>Runner-Up Finishes</t>
  </si>
  <si>
    <t>Title Bonus</t>
  </si>
  <si>
    <t>Runner-Up Bonus</t>
  </si>
  <si>
    <t>Total Score</t>
  </si>
  <si>
    <t>Ranking is by Total Score; equal totals share the same rank.</t>
  </si>
  <si>
    <t>21-8</t>
  </si>
  <si>
    <t>12-21</t>
  </si>
  <si>
    <t>21-9</t>
  </si>
  <si>
    <t>22-24</t>
  </si>
  <si>
    <t>21-6</t>
  </si>
  <si>
    <t>21-18</t>
  </si>
  <si>
    <t>21-17</t>
  </si>
  <si>
    <t>N</t>
  </si>
  <si>
    <t>10-21</t>
  </si>
  <si>
    <t>13-21</t>
  </si>
  <si>
    <t>18-21</t>
  </si>
  <si>
    <t>21-10</t>
  </si>
  <si>
    <t>Match/Set 1</t>
  </si>
  <si>
    <t>Match/Set 2</t>
  </si>
  <si>
    <t>Match/Set 3</t>
  </si>
  <si>
    <t>Wins</t>
  </si>
  <si>
    <t>C</t>
  </si>
  <si>
    <t>21-08</t>
  </si>
  <si>
    <t>08-21</t>
  </si>
  <si>
    <t>Tournament Points Table</t>
  </si>
  <si>
    <t>Win = 2 points  •  Loss = 0 points  •  Tiebreak: score difference (points for minus points against); exact ties break by team number. Only recorded results count.</t>
  </si>
  <si>
    <t>Overall</t>
  </si>
  <si>
    <t>Losses</t>
  </si>
  <si>
    <t>For</t>
  </si>
  <si>
    <t>Against</t>
  </si>
  <si>
    <t>Difference</t>
  </si>
  <si>
    <t>Team 1 Score</t>
  </si>
  <si>
    <t>Team 2 Score</t>
  </si>
  <si>
    <t>Score Difference</t>
  </si>
  <si>
    <t>Each completed win earns 2 points; losses earn 0. Rank by total points, then score difference (points for minus points against), then team number.</t>
  </si>
  <si>
    <t>Ranking: 2 points per win, 0 per loss; ties broken by score difference.</t>
  </si>
  <si>
    <t>Top 4 per format: 2 points per win, 0 per loss; ties by score difference, then team number. Women play 1 vs 4 and 2 vs 3. Men cross formats: Format 1 ranks 1–4 face Format 2 ranks 4–1.</t>
  </si>
  <si>
    <t>23-21</t>
  </si>
  <si>
    <t>6-21</t>
  </si>
  <si>
    <t>League + QF/SF</t>
  </si>
  <si>
    <t>Scoring: 1 point per league match win; 1 point for EACH set won in quarterfinals or semifinals (both teams earn their set wins, even in an unfinished tie); final winner 5 points, runner-up 3. Final sets do not earn extra points.</t>
  </si>
  <si>
    <t>QF/SF Sets Won</t>
  </si>
  <si>
    <t>Women's events: semifinals (1 vs 4, 2 vs 3). Men's cross-format quarterfinals: up to 3 matches; first to 2 match wins advances. Men's semifinals use fixed bracket QF1 vs QF3 and QF2 vs QF4 (no score-based reseeding). Semifinals and finals: best of 3 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</si>
</sst>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18"/>
      <color rgb="FFFFFFFF"/>
      <name val="Aptos"/>
      <family val="2"/>
    </font>
    <font>
      <sz val="10"/>
      <color rgb="FF244062"/>
      <name val="Aptos"/>
      <family val="2"/>
    </font>
    <font>
      <b/>
      <sz val="10"/>
      <color theme="1"/>
      <name val="Aptos"/>
      <family val="2"/>
    </font>
    <font>
      <b/>
      <sz val="13"/>
      <color theme="1"/>
      <name val="Aptos"/>
      <family val="2"/>
    </font>
    <font>
      <sz val="10"/>
      <color rgb="FF1F2937"/>
      <name val="Aptos"/>
      <family val="2"/>
    </font>
    <font>
      <b/>
      <sz val="10"/>
      <color rgb="FFFFFFFF"/>
      <name val="Roboto"/>
    </font>
    <font>
      <sz val="10"/>
      <color theme="1"/>
      <name val="Roboto"/>
    </font>
    <font>
      <b/>
      <sz val="10"/>
      <color theme="1"/>
      <name val="Roboto"/>
    </font>
    <font>
      <sz val="10"/>
      <color rgb="FF244062"/>
      <name val="Roboto"/>
    </font>
    <font>
      <sz val="10"/>
      <color rgb="FF17365D"/>
      <name val="Roboto"/>
    </font>
    <font>
      <sz val="10"/>
      <color rgb="FF334155"/>
      <name val="Roboto"/>
    </font>
    <font>
      <i/>
      <sz val="10"/>
      <color rgb="FF64748B"/>
      <name val="Roboto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9"/>
      <color rgb="FFFFFFFF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245B85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6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6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6" fillId="7" borderId="0" xfId="0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/>
    <xf numFmtId="2" fontId="10" fillId="0" borderId="0" xfId="0" applyNumberFormat="1" applyFont="1"/>
    <xf numFmtId="0" fontId="9" fillId="6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4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1" fontId="10" fillId="0" borderId="0" xfId="0" applyNumberFormat="1" applyFont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11" fillId="11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0" fillId="14" borderId="2" xfId="0" applyFont="1" applyFill="1" applyBorder="1" applyAlignment="1">
      <alignment vertical="center"/>
    </xf>
    <xf numFmtId="0" fontId="10" fillId="14" borderId="2" xfId="0" applyFont="1" applyFill="1" applyBorder="1" applyAlignment="1">
      <alignment horizontal="center"/>
    </xf>
    <xf numFmtId="0" fontId="10" fillId="14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vertical="center"/>
    </xf>
    <xf numFmtId="0" fontId="11" fillId="9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9" fillId="16" borderId="0" xfId="0" applyFont="1" applyFill="1" applyAlignment="1">
      <alignment vertical="center" wrapText="1"/>
    </xf>
    <xf numFmtId="1" fontId="10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0" fontId="12" fillId="5" borderId="0" xfId="0" applyFont="1" applyFill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10" fillId="0" borderId="3" xfId="0" applyFont="1" applyBorder="1"/>
    <xf numFmtId="0" fontId="10" fillId="10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11" fillId="0" borderId="0" xfId="0" quotePrefix="1" applyNumberFormat="1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2" fontId="11" fillId="9" borderId="3" xfId="0" quotePrefix="1" applyNumberFormat="1" applyFont="1" applyFill="1" applyBorder="1" applyAlignment="1">
      <alignment horizontal="center" vertical="center"/>
    </xf>
    <xf numFmtId="2" fontId="11" fillId="9" borderId="3" xfId="0" applyNumberFormat="1" applyFont="1" applyFill="1" applyBorder="1" applyAlignment="1">
      <alignment horizontal="center" vertical="center"/>
    </xf>
    <xf numFmtId="0" fontId="11" fillId="9" borderId="3" xfId="0" quotePrefix="1" applyFont="1" applyFill="1" applyBorder="1" applyAlignment="1">
      <alignment horizontal="center" vertical="center"/>
    </xf>
    <xf numFmtId="0" fontId="11" fillId="0" borderId="0" xfId="0" applyFont="1"/>
    <xf numFmtId="0" fontId="9" fillId="13" borderId="2" xfId="0" applyFont="1" applyFill="1" applyBorder="1"/>
    <xf numFmtId="0" fontId="16" fillId="0" borderId="0" xfId="0" applyFont="1"/>
    <xf numFmtId="164" fontId="0" fillId="0" borderId="0" xfId="0" applyNumberFormat="1"/>
    <xf numFmtId="164" fontId="10" fillId="0" borderId="0" xfId="0" applyNumberFormat="1" applyFont="1" applyAlignment="1">
      <alignment horizontal="center" vertical="center"/>
    </xf>
    <xf numFmtId="164" fontId="10" fillId="8" borderId="0" xfId="0" applyNumberFormat="1" applyFont="1" applyFill="1" applyAlignment="1">
      <alignment horizontal="center" vertical="center"/>
    </xf>
    <xf numFmtId="1" fontId="8" fillId="0" borderId="0" xfId="0" applyNumberFormat="1" applyFont="1" applyAlignment="1">
      <alignment vertical="center"/>
    </xf>
    <xf numFmtId="164" fontId="6" fillId="7" borderId="0" xfId="0" applyNumberFormat="1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1" fillId="17" borderId="2" xfId="0" applyFont="1" applyFill="1" applyBorder="1" applyAlignment="1">
      <alignment vertical="center"/>
    </xf>
    <xf numFmtId="164" fontId="10" fillId="0" borderId="0" xfId="0" applyNumberFormat="1" applyFont="1"/>
    <xf numFmtId="0" fontId="9" fillId="4" borderId="0" xfId="0" applyFont="1" applyFill="1" applyAlignment="1">
      <alignment horizontal="center"/>
    </xf>
    <xf numFmtId="0" fontId="14" fillId="12" borderId="0" xfId="0" applyFont="1" applyFill="1" applyAlignment="1">
      <alignment wrapText="1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0" fontId="9" fillId="4" borderId="0" xfId="0" applyFont="1" applyFill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3" fillId="5" borderId="0" xfId="0" applyFont="1" applyFill="1" applyAlignment="1">
      <alignment vertical="center" wrapText="1"/>
    </xf>
    <xf numFmtId="0" fontId="14" fillId="15" borderId="0" xfId="0" applyFont="1" applyFill="1" applyAlignment="1">
      <alignment vertical="center" wrapText="1"/>
    </xf>
    <xf numFmtId="0" fontId="15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0" fillId="0" borderId="0" xfId="0"/>
  </cellXfs>
  <cellStyles count="1">
    <cellStyle name="Normal" xfId="0" builtinId="0"/>
  </cellStyles>
  <dxfs count="26"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375623"/>
      </font>
      <fill>
        <patternFill patternType="solid">
          <fgColor indexed="64"/>
          <bgColor rgb="FFC6E0B4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375623"/>
      </font>
      <fill>
        <patternFill patternType="solid">
          <fgColor indexed="64"/>
          <bgColor rgb="FFC6E0B4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375623"/>
      </font>
      <fill>
        <patternFill patternType="solid">
          <fgColor indexed="64"/>
          <bgColor rgb="FFC6E0B4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375623"/>
      </font>
      <fill>
        <patternFill patternType="solid">
          <fgColor indexed="64"/>
          <bgColor rgb="FFC6E0B4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375623"/>
      </font>
      <fill>
        <patternFill patternType="solid">
          <fgColor indexed="64"/>
          <bgColor rgb="FFC6E0B4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375623"/>
      </font>
      <fill>
        <patternFill patternType="solid">
          <fgColor indexed="64"/>
          <bgColor rgb="FFC6E0B4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375623"/>
      </font>
      <fill>
        <patternFill patternType="solid">
          <fgColor indexed="64"/>
          <bgColor rgb="FFC6E0B4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375623"/>
      </font>
      <fill>
        <patternFill patternType="solid">
          <fgColor indexed="64"/>
          <bgColor rgb="FFC6E0B4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duca-my.sharepoint.com/personal/akshiththolakpalli_sdu_works/Documents/2026-27/TT%20Tournament/Office_TT_Round_Robin_Automated.xlsx" TargetMode="External"/><Relationship Id="rId1" Type="http://schemas.openxmlformats.org/officeDocument/2006/relationships/externalLinkPath" Target="https://sduca-my.sharepoint.com/personal/akshiththolakpalli_sdu_works/Documents/2026-27/TT%20Tournament/Office_TT_Round_Robin_Autom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Team &amp; Players"/>
      <sheetName val="Sheet2"/>
      <sheetName val="Results Entry"/>
      <sheetName val="Tie Summary"/>
      <sheetName val="Next Fixtures"/>
      <sheetName val="Individual Standings"/>
      <sheetName val="Team Standings"/>
      <sheetName val="Day 1"/>
      <sheetName val="Day 2"/>
      <sheetName val="Day 3"/>
      <sheetName val="Day 4"/>
      <sheetName val="Sheet1"/>
      <sheetName val="Day 5"/>
    </sheetNames>
    <sheetDataSet>
      <sheetData sheetId="0"/>
      <sheetData sheetId="1">
        <row r="2">
          <cell r="A2" t="str">
            <v>A1</v>
          </cell>
          <cell r="C2" t="str">
            <v>Amrutha</v>
          </cell>
          <cell r="D2" t="str">
            <v>Neha</v>
          </cell>
          <cell r="E2" t="str">
            <v>Saurabh</v>
          </cell>
          <cell r="F2" t="str">
            <v>Aman Doshi</v>
          </cell>
          <cell r="G2" t="str">
            <v>Nikhil M</v>
          </cell>
          <cell r="H2" t="str">
            <v>Jinendar</v>
          </cell>
          <cell r="I2" t="str">
            <v>Sreesha</v>
          </cell>
          <cell r="J2" t="str">
            <v>Manan</v>
          </cell>
          <cell r="K2" t="str">
            <v>Dhruv Jaju</v>
          </cell>
        </row>
        <row r="3">
          <cell r="A3" t="str">
            <v>A2</v>
          </cell>
          <cell r="C3" t="str">
            <v>Vaishnavi M</v>
          </cell>
          <cell r="D3" t="str">
            <v>Keerthana</v>
          </cell>
          <cell r="E3" t="str">
            <v>Dhruv C</v>
          </cell>
          <cell r="F3" t="str">
            <v>Avaneesh</v>
          </cell>
          <cell r="G3" t="str">
            <v xml:space="preserve">Kushal </v>
          </cell>
          <cell r="H3" t="str">
            <v>Shubham</v>
          </cell>
          <cell r="I3" t="str">
            <v>Yuvraj</v>
          </cell>
          <cell r="J3" t="str">
            <v>Karthik KB</v>
          </cell>
          <cell r="K3" t="str">
            <v>Abhiram</v>
          </cell>
        </row>
        <row r="4">
          <cell r="A4" t="str">
            <v>A3</v>
          </cell>
          <cell r="C4" t="str">
            <v>Mamta</v>
          </cell>
          <cell r="D4" t="str">
            <v>Rithu</v>
          </cell>
          <cell r="E4" t="str">
            <v>Sujal</v>
          </cell>
          <cell r="F4" t="str">
            <v>Niraj Salot</v>
          </cell>
          <cell r="G4" t="str">
            <v>Kunal D</v>
          </cell>
          <cell r="H4" t="str">
            <v>Anirudha H</v>
          </cell>
          <cell r="I4" t="str">
            <v>Sarvesh H</v>
          </cell>
          <cell r="J4" t="str">
            <v>Deviprasad</v>
          </cell>
          <cell r="K4" t="str">
            <v>Darshan Patel</v>
          </cell>
        </row>
        <row r="5">
          <cell r="A5" t="str">
            <v>B1</v>
          </cell>
          <cell r="C5" t="str">
            <v>Subashree</v>
          </cell>
          <cell r="D5" t="str">
            <v>Sanjana</v>
          </cell>
          <cell r="E5" t="str">
            <v>Naman</v>
          </cell>
          <cell r="F5" t="str">
            <v>Jay B</v>
          </cell>
          <cell r="G5" t="str">
            <v>Leela Sagar</v>
          </cell>
          <cell r="H5" t="str">
            <v>Ali Akbar</v>
          </cell>
          <cell r="I5" t="str">
            <v>Khush B</v>
          </cell>
          <cell r="J5" t="str">
            <v>Hemanth</v>
          </cell>
          <cell r="K5" t="str">
            <v>Bharatha S</v>
          </cell>
        </row>
        <row r="6">
          <cell r="A6" t="str">
            <v>B2</v>
          </cell>
          <cell r="C6" t="str">
            <v>Riya</v>
          </cell>
          <cell r="D6" t="str">
            <v>Yukti</v>
          </cell>
          <cell r="E6" t="str">
            <v>Pavan D</v>
          </cell>
          <cell r="F6" t="str">
            <v>Vidwan</v>
          </cell>
          <cell r="G6" t="str">
            <v>Shravanth</v>
          </cell>
          <cell r="H6" t="str">
            <v>Vrishin</v>
          </cell>
          <cell r="I6" t="str">
            <v>Rohith</v>
          </cell>
          <cell r="J6" t="str">
            <v>Darshan H</v>
          </cell>
          <cell r="K6" t="str">
            <v>Niranjan</v>
          </cell>
        </row>
        <row r="7">
          <cell r="A7" t="str">
            <v>B3</v>
          </cell>
          <cell r="C7" t="str">
            <v>Neha P Jain</v>
          </cell>
          <cell r="D7" t="str">
            <v>Drishti</v>
          </cell>
          <cell r="E7" t="str">
            <v>Anshul</v>
          </cell>
          <cell r="F7" t="str">
            <v>Navtej</v>
          </cell>
          <cell r="G7" t="str">
            <v xml:space="preserve">Nagarajan </v>
          </cell>
          <cell r="H7" t="str">
            <v>Chandrashaker Joshi</v>
          </cell>
          <cell r="I7" t="str">
            <v>Rohan</v>
          </cell>
          <cell r="J7" t="str">
            <v>Bhuvanesh</v>
          </cell>
          <cell r="K7" t="str">
            <v>Sanath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3CD9-4C33-4169-99B4-452D72084CA0}">
  <dimension ref="A1:L113"/>
  <sheetViews>
    <sheetView view="pageBreakPreview" zoomScale="60" zoomScaleNormal="100" workbookViewId="0">
      <selection activeCell="K6" sqref="K6"/>
    </sheetView>
  </sheetViews>
  <sheetFormatPr baseColWidth="10" defaultColWidth="20.1640625" defaultRowHeight="15" x14ac:dyDescent="0.2"/>
  <cols>
    <col min="1" max="1" width="8.5" bestFit="1" customWidth="1"/>
    <col min="2" max="2" width="15.5" customWidth="1"/>
    <col min="3" max="4" width="11.5" bestFit="1" customWidth="1"/>
    <col min="5" max="6" width="11.5" customWidth="1"/>
    <col min="7" max="7" width="16.1640625" bestFit="1" customWidth="1"/>
    <col min="8" max="9" width="19.5" bestFit="1" customWidth="1"/>
    <col min="10" max="10" width="15" customWidth="1"/>
    <col min="11" max="11" width="14.1640625" customWidth="1"/>
    <col min="12" max="12" width="17.5" bestFit="1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 t="s">
        <v>15</v>
      </c>
      <c r="H2" s="2" t="str">
        <f>INDEX('[1]Team &amp; Players'!$C$2:$C$7,MATCH(C2,'[1]Team &amp; Players'!$A$2:$A$7,0))</f>
        <v>Amrutha</v>
      </c>
      <c r="I2" s="2" t="str">
        <f>INDEX('[1]Team &amp; Players'!$C$2:$C$7,MATCH(D2,'[1]Team &amp; Players'!$A$2:$A$7,0))</f>
        <v>Vaishnavi M</v>
      </c>
      <c r="J2" s="2"/>
      <c r="K2" s="2"/>
      <c r="L2" s="2" t="str">
        <f>IF(J2="","",IF(J2=H2,C2,D2))</f>
        <v/>
      </c>
    </row>
    <row r="3" spans="1:12" ht="16" x14ac:dyDescent="0.2">
      <c r="A3" s="2" t="s">
        <v>10</v>
      </c>
      <c r="B3" s="2" t="s">
        <v>11</v>
      </c>
      <c r="C3" s="2" t="s">
        <v>12</v>
      </c>
      <c r="D3" s="2" t="s">
        <v>13</v>
      </c>
      <c r="E3" s="2"/>
      <c r="F3" s="2" t="s">
        <v>14</v>
      </c>
      <c r="G3" s="2" t="s">
        <v>16</v>
      </c>
      <c r="H3" s="2" t="str">
        <f>INDEX('[1]Team &amp; Players'!$C$2:$C$7,MATCH(C3,'[1]Team &amp; Players'!$A$2:$A$7,0))&amp;" + "&amp;INDEX('[1]Team &amp; Players'!$D$2:$D$7,MATCH(C3,'[1]Team &amp; Players'!$A$2:$A$7,0))</f>
        <v>Amrutha + Neha</v>
      </c>
      <c r="I3" s="2" t="str">
        <f>INDEX('[1]Team &amp; Players'!$C$2:$C$7,MATCH(D3,'[1]Team &amp; Players'!$A$2:$A$7,0))&amp;" + "&amp;INDEX('[1]Team &amp; Players'!$D$2:$D$7,MATCH(D3,'[1]Team &amp; Players'!$A$2:$A$7,0))</f>
        <v>Vaishnavi M + Keerthana</v>
      </c>
      <c r="J3" s="2"/>
      <c r="K3" s="2"/>
      <c r="L3" s="2" t="str">
        <f t="shared" ref="L3:L66" si="0">IF(J3="","",IF(J3=H3,C3,D3))</f>
        <v/>
      </c>
    </row>
    <row r="4" spans="1:12" ht="16" x14ac:dyDescent="0.2">
      <c r="A4" s="2" t="s">
        <v>10</v>
      </c>
      <c r="B4" s="2" t="s">
        <v>11</v>
      </c>
      <c r="C4" s="2" t="s">
        <v>12</v>
      </c>
      <c r="D4" s="2" t="s">
        <v>13</v>
      </c>
      <c r="E4" s="2"/>
      <c r="F4" s="2" t="s">
        <v>14</v>
      </c>
      <c r="G4" s="2" t="s">
        <v>17</v>
      </c>
      <c r="H4" s="2" t="str">
        <f>INDEX('[1]Team &amp; Players'!$D$2:$D$7,MATCH(C4,'[1]Team &amp; Players'!$A$2:$A$7,0))&amp;" + "&amp;INDEX('[1]Team &amp; Players'!$K$2:$K$7,MATCH(C4,'[1]Team &amp; Players'!$A$2:$A$7,0))</f>
        <v>Neha + Dhruv Jaju</v>
      </c>
      <c r="I4" s="2" t="str">
        <f>INDEX('[1]Team &amp; Players'!$D$2:$D$7,MATCH(D4,'[1]Team &amp; Players'!$A$2:$A$7,0))&amp;" + "&amp;INDEX('[1]Team &amp; Players'!$K$2:$K$7,MATCH(D4,'[1]Team &amp; Players'!$A$2:$A$7,0))</f>
        <v>Keerthana + Abhiram</v>
      </c>
      <c r="J4" s="2"/>
      <c r="K4" s="2"/>
      <c r="L4" s="2" t="str">
        <f t="shared" si="0"/>
        <v/>
      </c>
    </row>
    <row r="5" spans="1:12" ht="16" x14ac:dyDescent="0.2">
      <c r="A5" s="2" t="s">
        <v>10</v>
      </c>
      <c r="B5" s="2" t="s">
        <v>11</v>
      </c>
      <c r="C5" s="2" t="s">
        <v>12</v>
      </c>
      <c r="D5" s="2" t="s">
        <v>13</v>
      </c>
      <c r="E5" s="2"/>
      <c r="F5" s="2" t="s">
        <v>14</v>
      </c>
      <c r="G5" s="2" t="s">
        <v>18</v>
      </c>
      <c r="H5" s="2" t="str">
        <f>INDEX('[1]Team &amp; Players'!$E$2:$E$7,MATCH(C5,'[1]Team &amp; Players'!$A$2:$A$7,0))</f>
        <v>Saurabh</v>
      </c>
      <c r="I5" s="2" t="str">
        <f>INDEX('[1]Team &amp; Players'!$E$2:$E$7,MATCH(D5,'[1]Team &amp; Players'!$A$2:$A$7,0))</f>
        <v>Dhruv C</v>
      </c>
      <c r="J5" s="2"/>
      <c r="K5" s="2"/>
      <c r="L5" s="2" t="str">
        <f t="shared" si="0"/>
        <v/>
      </c>
    </row>
    <row r="6" spans="1:12" ht="16" x14ac:dyDescent="0.2">
      <c r="A6" s="2" t="s">
        <v>10</v>
      </c>
      <c r="B6" s="2" t="s">
        <v>11</v>
      </c>
      <c r="C6" s="2" t="s">
        <v>12</v>
      </c>
      <c r="D6" s="2" t="s">
        <v>13</v>
      </c>
      <c r="E6" s="2"/>
      <c r="F6" s="2" t="s">
        <v>14</v>
      </c>
      <c r="G6" s="2" t="s">
        <v>19</v>
      </c>
      <c r="H6" s="2" t="str">
        <f>INDEX('[1]Team &amp; Players'!$F$2:$F$7,MATCH(C6,'[1]Team &amp; Players'!$A$2:$A$7,0))</f>
        <v>Aman Doshi</v>
      </c>
      <c r="I6" s="2" t="str">
        <f>INDEX('[1]Team &amp; Players'!$F$2:$F$7,MATCH(D6,'[1]Team &amp; Players'!$A$2:$A$7,0))</f>
        <v>Avaneesh</v>
      </c>
      <c r="J6" s="2"/>
      <c r="K6" s="2"/>
      <c r="L6" s="2" t="str">
        <f t="shared" si="0"/>
        <v/>
      </c>
    </row>
    <row r="7" spans="1:12" ht="16" x14ac:dyDescent="0.2">
      <c r="A7" s="2" t="s">
        <v>10</v>
      </c>
      <c r="B7" s="2" t="s">
        <v>11</v>
      </c>
      <c r="C7" s="2" t="s">
        <v>12</v>
      </c>
      <c r="D7" s="2" t="s">
        <v>13</v>
      </c>
      <c r="E7" s="2"/>
      <c r="F7" s="2" t="s">
        <v>14</v>
      </c>
      <c r="G7" s="2" t="s">
        <v>20</v>
      </c>
      <c r="H7" s="2" t="str">
        <f>INDEX('[1]Team &amp; Players'!$G$2:$G$7,MATCH(C7,'[1]Team &amp; Players'!$A$2:$A$7,0))&amp;" + "&amp;INDEX('[1]Team &amp; Players'!$H$2:$H$7,MATCH(C7,'[1]Team &amp; Players'!$A$2:$A$7,0))</f>
        <v>Nikhil M + Jinendar</v>
      </c>
      <c r="I7" s="2" t="str">
        <f>INDEX('[1]Team &amp; Players'!$G$2:$G$7,MATCH(D7,'[1]Team &amp; Players'!$A$2:$A$7,0))&amp;" + "&amp;INDEX('[1]Team &amp; Players'!$H$2:$H$7,MATCH(D7,'[1]Team &amp; Players'!$A$2:$A$7,0))</f>
        <v>Kushal  + Shubham</v>
      </c>
      <c r="J7" s="2"/>
      <c r="K7" s="2"/>
      <c r="L7" s="2" t="str">
        <f t="shared" si="0"/>
        <v/>
      </c>
    </row>
    <row r="8" spans="1:12" ht="16" x14ac:dyDescent="0.2">
      <c r="A8" s="2" t="s">
        <v>10</v>
      </c>
      <c r="B8" s="2" t="s">
        <v>11</v>
      </c>
      <c r="C8" s="2" t="s">
        <v>12</v>
      </c>
      <c r="D8" s="2" t="s">
        <v>13</v>
      </c>
      <c r="E8" s="2"/>
      <c r="F8" s="2" t="s">
        <v>14</v>
      </c>
      <c r="G8" s="2" t="s">
        <v>21</v>
      </c>
      <c r="H8" s="2" t="str">
        <f>INDEX('[1]Team &amp; Players'!$I$2:$I$7,MATCH(C8,'[1]Team &amp; Players'!$A$2:$A$7,0))&amp;" + "&amp;INDEX('[1]Team &amp; Players'!$J$2:$J$7,MATCH(C8,'[1]Team &amp; Players'!$A$2:$A$7,0))</f>
        <v>Sreesha + Manan</v>
      </c>
      <c r="I8" s="2" t="str">
        <f>INDEX('[1]Team &amp; Players'!$I$2:$I$7,MATCH(D8,'[1]Team &amp; Players'!$A$2:$A$7,0))&amp;" + "&amp;INDEX('[1]Team &amp; Players'!$J$2:$J$7,MATCH(D8,'[1]Team &amp; Players'!$A$2:$A$7,0))</f>
        <v>Yuvraj + Karthik KB</v>
      </c>
      <c r="J8" s="2"/>
      <c r="K8" s="2"/>
      <c r="L8" s="2" t="str">
        <f t="shared" si="0"/>
        <v/>
      </c>
    </row>
    <row r="9" spans="1:12" ht="16" x14ac:dyDescent="0.2">
      <c r="A9" s="2" t="s">
        <v>10</v>
      </c>
      <c r="B9" s="2" t="s">
        <v>22</v>
      </c>
      <c r="C9" s="2" t="s">
        <v>23</v>
      </c>
      <c r="D9" s="2" t="s">
        <v>24</v>
      </c>
      <c r="E9" s="2"/>
      <c r="F9" s="2" t="s">
        <v>25</v>
      </c>
      <c r="G9" s="2" t="s">
        <v>15</v>
      </c>
      <c r="H9" s="2" t="str">
        <f>INDEX('[1]Team &amp; Players'!$C$2:$C$7,MATCH(C9,'[1]Team &amp; Players'!$A$2:$A$7,0))</f>
        <v>Mamta</v>
      </c>
      <c r="I9" s="2" t="str">
        <f>INDEX('[1]Team &amp; Players'!$C$2:$C$7,MATCH(D9,'[1]Team &amp; Players'!$A$2:$A$7,0))</f>
        <v>Neha P Jain</v>
      </c>
      <c r="J9" s="2"/>
      <c r="K9" s="2"/>
      <c r="L9" s="2" t="str">
        <f t="shared" si="0"/>
        <v/>
      </c>
    </row>
    <row r="10" spans="1:12" ht="16" x14ac:dyDescent="0.2">
      <c r="A10" s="2" t="s">
        <v>10</v>
      </c>
      <c r="B10" s="2" t="s">
        <v>22</v>
      </c>
      <c r="C10" s="2" t="s">
        <v>23</v>
      </c>
      <c r="D10" s="2" t="s">
        <v>24</v>
      </c>
      <c r="E10" s="2"/>
      <c r="F10" s="2" t="s">
        <v>25</v>
      </c>
      <c r="G10" s="2" t="s">
        <v>16</v>
      </c>
      <c r="H10" s="2" t="str">
        <f>INDEX('[1]Team &amp; Players'!$C$2:$C$7,MATCH(C10,'[1]Team &amp; Players'!$A$2:$A$7,0))&amp;" + "&amp;INDEX('[1]Team &amp; Players'!$D$2:$D$7,MATCH(C10,'[1]Team &amp; Players'!$A$2:$A$7,0))</f>
        <v>Mamta + Rithu</v>
      </c>
      <c r="I10" s="2" t="str">
        <f>INDEX('[1]Team &amp; Players'!$C$2:$C$7,MATCH(D10,'[1]Team &amp; Players'!$A$2:$A$7,0))&amp;" + "&amp;INDEX('[1]Team &amp; Players'!$D$2:$D$7,MATCH(D10,'[1]Team &amp; Players'!$A$2:$A$7,0))</f>
        <v>Neha P Jain + Drishti</v>
      </c>
      <c r="J10" s="2"/>
      <c r="K10" s="2"/>
      <c r="L10" s="2" t="str">
        <f t="shared" si="0"/>
        <v/>
      </c>
    </row>
    <row r="11" spans="1:12" ht="16" x14ac:dyDescent="0.2">
      <c r="A11" s="2" t="s">
        <v>10</v>
      </c>
      <c r="B11" s="2" t="s">
        <v>22</v>
      </c>
      <c r="C11" s="2" t="s">
        <v>23</v>
      </c>
      <c r="D11" s="2" t="s">
        <v>24</v>
      </c>
      <c r="E11" s="2"/>
      <c r="F11" s="2" t="s">
        <v>25</v>
      </c>
      <c r="G11" s="2" t="s">
        <v>17</v>
      </c>
      <c r="H11" s="2" t="str">
        <f>INDEX('[1]Team &amp; Players'!$D$2:$D$7,MATCH(C11,'[1]Team &amp; Players'!$A$2:$A$7,0))&amp;" + "&amp;INDEX('[1]Team &amp; Players'!$K$2:$K$7,MATCH(C11,'[1]Team &amp; Players'!$A$2:$A$7,0))</f>
        <v>Rithu + Darshan Patel</v>
      </c>
      <c r="I11" s="2" t="str">
        <f>INDEX('[1]Team &amp; Players'!$D$2:$D$7,MATCH(D11,'[1]Team &amp; Players'!$A$2:$A$7,0))&amp;" + "&amp;INDEX('[1]Team &amp; Players'!$K$2:$K$7,MATCH(D11,'[1]Team &amp; Players'!$A$2:$A$7,0))</f>
        <v>Drishti + Sanath</v>
      </c>
      <c r="J11" s="2"/>
      <c r="K11" s="2"/>
      <c r="L11" s="2" t="str">
        <f t="shared" si="0"/>
        <v/>
      </c>
    </row>
    <row r="12" spans="1:12" ht="16" x14ac:dyDescent="0.2">
      <c r="A12" s="2" t="s">
        <v>10</v>
      </c>
      <c r="B12" s="2" t="s">
        <v>22</v>
      </c>
      <c r="C12" s="2" t="s">
        <v>23</v>
      </c>
      <c r="D12" s="2" t="s">
        <v>24</v>
      </c>
      <c r="E12" s="2"/>
      <c r="F12" s="2" t="s">
        <v>25</v>
      </c>
      <c r="G12" s="2" t="s">
        <v>18</v>
      </c>
      <c r="H12" s="2" t="str">
        <f>INDEX('[1]Team &amp; Players'!$E$2:$E$7,MATCH(C12,'[1]Team &amp; Players'!$A$2:$A$7,0))</f>
        <v>Sujal</v>
      </c>
      <c r="I12" s="2" t="str">
        <f>INDEX('[1]Team &amp; Players'!$E$2:$E$7,MATCH(D12,'[1]Team &amp; Players'!$A$2:$A$7,0))</f>
        <v>Anshul</v>
      </c>
      <c r="J12" s="2"/>
      <c r="K12" s="2"/>
      <c r="L12" s="2" t="str">
        <f t="shared" si="0"/>
        <v/>
      </c>
    </row>
    <row r="13" spans="1:12" ht="16" x14ac:dyDescent="0.2">
      <c r="A13" s="2" t="s">
        <v>10</v>
      </c>
      <c r="B13" s="2" t="s">
        <v>22</v>
      </c>
      <c r="C13" s="2" t="s">
        <v>23</v>
      </c>
      <c r="D13" s="2" t="s">
        <v>24</v>
      </c>
      <c r="E13" s="2"/>
      <c r="F13" s="2" t="s">
        <v>25</v>
      </c>
      <c r="G13" s="2" t="s">
        <v>19</v>
      </c>
      <c r="H13" s="2" t="str">
        <f>INDEX('[1]Team &amp; Players'!$F$2:$F$7,MATCH(C13,'[1]Team &amp; Players'!$A$2:$A$7,0))</f>
        <v>Niraj Salot</v>
      </c>
      <c r="I13" s="2" t="str">
        <f>INDEX('[1]Team &amp; Players'!$F$2:$F$7,MATCH(D13,'[1]Team &amp; Players'!$A$2:$A$7,0))</f>
        <v>Navtej</v>
      </c>
      <c r="J13" s="2"/>
      <c r="K13" s="2"/>
      <c r="L13" s="2" t="str">
        <f t="shared" si="0"/>
        <v/>
      </c>
    </row>
    <row r="14" spans="1:12" ht="32" x14ac:dyDescent="0.2">
      <c r="A14" s="2" t="s">
        <v>10</v>
      </c>
      <c r="B14" s="2" t="s">
        <v>22</v>
      </c>
      <c r="C14" s="2" t="s">
        <v>23</v>
      </c>
      <c r="D14" s="2" t="s">
        <v>24</v>
      </c>
      <c r="E14" s="2"/>
      <c r="F14" s="2" t="s">
        <v>25</v>
      </c>
      <c r="G14" s="2" t="s">
        <v>20</v>
      </c>
      <c r="H14" s="2" t="str">
        <f>INDEX('[1]Team &amp; Players'!$G$2:$G$7,MATCH(C14,'[1]Team &amp; Players'!$A$2:$A$7,0))&amp;" + "&amp;INDEX('[1]Team &amp; Players'!$H$2:$H$7,MATCH(C14,'[1]Team &amp; Players'!$A$2:$A$7,0))</f>
        <v>Kunal D + Anirudha H</v>
      </c>
      <c r="I14" s="2" t="str">
        <f>INDEX('[1]Team &amp; Players'!$G$2:$G$7,MATCH(D14,'[1]Team &amp; Players'!$A$2:$A$7,0))&amp;" + "&amp;INDEX('[1]Team &amp; Players'!$H$2:$H$7,MATCH(D14,'[1]Team &amp; Players'!$A$2:$A$7,0))</f>
        <v>Nagarajan  + Chandrashaker Joshi</v>
      </c>
      <c r="J14" s="2"/>
      <c r="K14" s="2"/>
      <c r="L14" s="2" t="str">
        <f t="shared" si="0"/>
        <v/>
      </c>
    </row>
    <row r="15" spans="1:12" ht="16" x14ac:dyDescent="0.2">
      <c r="A15" s="2" t="s">
        <v>10</v>
      </c>
      <c r="B15" s="2" t="s">
        <v>22</v>
      </c>
      <c r="C15" s="2" t="s">
        <v>23</v>
      </c>
      <c r="D15" s="2" t="s">
        <v>24</v>
      </c>
      <c r="E15" s="2"/>
      <c r="F15" s="2" t="s">
        <v>25</v>
      </c>
      <c r="G15" s="2" t="s">
        <v>21</v>
      </c>
      <c r="H15" s="2" t="str">
        <f>INDEX('[1]Team &amp; Players'!$I$2:$I$7,MATCH(C15,'[1]Team &amp; Players'!$A$2:$A$7,0))&amp;" + "&amp;INDEX('[1]Team &amp; Players'!$J$2:$J$7,MATCH(C15,'[1]Team &amp; Players'!$A$2:$A$7,0))</f>
        <v>Sarvesh H + Deviprasad</v>
      </c>
      <c r="I15" s="2" t="str">
        <f>INDEX('[1]Team &amp; Players'!$I$2:$I$7,MATCH(D15,'[1]Team &amp; Players'!$A$2:$A$7,0))&amp;" + "&amp;INDEX('[1]Team &amp; Players'!$J$2:$J$7,MATCH(D15,'[1]Team &amp; Players'!$A$2:$A$7,0))</f>
        <v>Rohan + Bhuvanesh</v>
      </c>
      <c r="J15" s="2"/>
      <c r="K15" s="2"/>
      <c r="L15" s="2" t="str">
        <f t="shared" si="0"/>
        <v/>
      </c>
    </row>
    <row r="16" spans="1:12" ht="16" x14ac:dyDescent="0.2">
      <c r="A16" s="2" t="s">
        <v>26</v>
      </c>
      <c r="B16" s="2" t="s">
        <v>11</v>
      </c>
      <c r="C16" s="2" t="s">
        <v>27</v>
      </c>
      <c r="D16" s="2" t="s">
        <v>28</v>
      </c>
      <c r="E16" s="2"/>
      <c r="F16" s="2" t="s">
        <v>29</v>
      </c>
      <c r="G16" s="2" t="s">
        <v>15</v>
      </c>
      <c r="H16" s="2" t="str">
        <f>INDEX('[1]Team &amp; Players'!$C$2:$C$7,MATCH(C16,'[1]Team &amp; Players'!$A$2:$A$7,0))</f>
        <v>Subashree</v>
      </c>
      <c r="I16" s="2" t="str">
        <f>INDEX('[1]Team &amp; Players'!$C$2:$C$7,MATCH(D16,'[1]Team &amp; Players'!$A$2:$A$7,0))</f>
        <v>Riya</v>
      </c>
      <c r="J16" s="2"/>
      <c r="K16" s="2"/>
      <c r="L16" s="2" t="str">
        <f t="shared" si="0"/>
        <v/>
      </c>
    </row>
    <row r="17" spans="1:12" ht="16" x14ac:dyDescent="0.2">
      <c r="A17" s="2" t="s">
        <v>26</v>
      </c>
      <c r="B17" s="2" t="s">
        <v>11</v>
      </c>
      <c r="C17" s="2" t="s">
        <v>27</v>
      </c>
      <c r="D17" s="2" t="s">
        <v>28</v>
      </c>
      <c r="E17" s="2"/>
      <c r="F17" s="2" t="s">
        <v>29</v>
      </c>
      <c r="G17" s="2" t="s">
        <v>16</v>
      </c>
      <c r="H17" s="2" t="str">
        <f>INDEX('[1]Team &amp; Players'!$C$2:$C$7,MATCH(C17,'[1]Team &amp; Players'!$A$2:$A$7,0))&amp;" + "&amp;INDEX('[1]Team &amp; Players'!$D$2:$D$7,MATCH(C17,'[1]Team &amp; Players'!$A$2:$A$7,0))</f>
        <v>Subashree + Sanjana</v>
      </c>
      <c r="I17" s="2" t="str">
        <f>INDEX('[1]Team &amp; Players'!$C$2:$C$7,MATCH(D17,'[1]Team &amp; Players'!$A$2:$A$7,0))&amp;" + "&amp;INDEX('[1]Team &amp; Players'!$D$2:$D$7,MATCH(D17,'[1]Team &amp; Players'!$A$2:$A$7,0))</f>
        <v>Riya + Yukti</v>
      </c>
      <c r="J17" s="2"/>
      <c r="K17" s="2"/>
      <c r="L17" s="2" t="str">
        <f t="shared" si="0"/>
        <v/>
      </c>
    </row>
    <row r="18" spans="1:12" ht="16" x14ac:dyDescent="0.2">
      <c r="A18" s="2" t="s">
        <v>26</v>
      </c>
      <c r="B18" s="2" t="s">
        <v>11</v>
      </c>
      <c r="C18" s="2" t="s">
        <v>27</v>
      </c>
      <c r="D18" s="2" t="s">
        <v>28</v>
      </c>
      <c r="E18" s="2"/>
      <c r="F18" s="2" t="s">
        <v>29</v>
      </c>
      <c r="G18" s="2" t="s">
        <v>17</v>
      </c>
      <c r="H18" s="2" t="str">
        <f>INDEX('[1]Team &amp; Players'!$D$2:$D$7,MATCH(C18,'[1]Team &amp; Players'!$A$2:$A$7,0))&amp;" + "&amp;INDEX('[1]Team &amp; Players'!$K$2:$K$7,MATCH(C18,'[1]Team &amp; Players'!$A$2:$A$7,0))</f>
        <v>Sanjana + Bharatha S</v>
      </c>
      <c r="I18" s="2" t="str">
        <f>INDEX('[1]Team &amp; Players'!$D$2:$D$7,MATCH(D18,'[1]Team &amp; Players'!$A$2:$A$7,0))&amp;" + "&amp;INDEX('[1]Team &amp; Players'!$K$2:$K$7,MATCH(D18,'[1]Team &amp; Players'!$A$2:$A$7,0))</f>
        <v>Yukti + Niranjan</v>
      </c>
      <c r="J18" s="2"/>
      <c r="K18" s="2"/>
      <c r="L18" s="2" t="str">
        <f t="shared" si="0"/>
        <v/>
      </c>
    </row>
    <row r="19" spans="1:12" ht="16" x14ac:dyDescent="0.2">
      <c r="A19" s="2" t="s">
        <v>26</v>
      </c>
      <c r="B19" s="2" t="s">
        <v>11</v>
      </c>
      <c r="C19" s="2" t="s">
        <v>27</v>
      </c>
      <c r="D19" s="2" t="s">
        <v>28</v>
      </c>
      <c r="E19" s="2"/>
      <c r="F19" s="2" t="s">
        <v>29</v>
      </c>
      <c r="G19" s="2" t="s">
        <v>18</v>
      </c>
      <c r="H19" s="2" t="str">
        <f>INDEX('[1]Team &amp; Players'!$E$2:$E$7,MATCH(C19,'[1]Team &amp; Players'!$A$2:$A$7,0))</f>
        <v>Naman</v>
      </c>
      <c r="I19" s="2" t="str">
        <f>INDEX('[1]Team &amp; Players'!$E$2:$E$7,MATCH(D19,'[1]Team &amp; Players'!$A$2:$A$7,0))</f>
        <v>Pavan D</v>
      </c>
      <c r="J19" s="2"/>
      <c r="K19" s="2"/>
      <c r="L19" s="2" t="str">
        <f t="shared" si="0"/>
        <v/>
      </c>
    </row>
    <row r="20" spans="1:12" ht="16" x14ac:dyDescent="0.2">
      <c r="A20" s="2" t="s">
        <v>26</v>
      </c>
      <c r="B20" s="2" t="s">
        <v>11</v>
      </c>
      <c r="C20" s="2" t="s">
        <v>27</v>
      </c>
      <c r="D20" s="2" t="s">
        <v>28</v>
      </c>
      <c r="E20" s="2"/>
      <c r="F20" s="2" t="s">
        <v>29</v>
      </c>
      <c r="G20" s="2" t="s">
        <v>19</v>
      </c>
      <c r="H20" s="2" t="str">
        <f>INDEX('[1]Team &amp; Players'!$F$2:$F$7,MATCH(C20,'[1]Team &amp; Players'!$A$2:$A$7,0))</f>
        <v>Jay B</v>
      </c>
      <c r="I20" s="2" t="str">
        <f>INDEX('[1]Team &amp; Players'!$F$2:$F$7,MATCH(D20,'[1]Team &amp; Players'!$A$2:$A$7,0))</f>
        <v>Vidwan</v>
      </c>
      <c r="J20" s="2"/>
      <c r="K20" s="2"/>
      <c r="L20" s="2" t="str">
        <f t="shared" si="0"/>
        <v/>
      </c>
    </row>
    <row r="21" spans="1:12" ht="16" x14ac:dyDescent="0.2">
      <c r="A21" s="2" t="s">
        <v>26</v>
      </c>
      <c r="B21" s="2" t="s">
        <v>11</v>
      </c>
      <c r="C21" s="2" t="s">
        <v>27</v>
      </c>
      <c r="D21" s="2" t="s">
        <v>28</v>
      </c>
      <c r="E21" s="2"/>
      <c r="F21" s="2" t="s">
        <v>29</v>
      </c>
      <c r="G21" s="2" t="s">
        <v>20</v>
      </c>
      <c r="H21" s="2" t="str">
        <f>INDEX('[1]Team &amp; Players'!$G$2:$G$7,MATCH(C21,'[1]Team &amp; Players'!$A$2:$A$7,0))&amp;" + "&amp;INDEX('[1]Team &amp; Players'!$H$2:$H$7,MATCH(C21,'[1]Team &amp; Players'!$A$2:$A$7,0))</f>
        <v>Leela Sagar + Ali Akbar</v>
      </c>
      <c r="I21" s="2" t="str">
        <f>INDEX('[1]Team &amp; Players'!$G$2:$G$7,MATCH(D21,'[1]Team &amp; Players'!$A$2:$A$7,0))&amp;" + "&amp;INDEX('[1]Team &amp; Players'!$H$2:$H$7,MATCH(D21,'[1]Team &amp; Players'!$A$2:$A$7,0))</f>
        <v>Shravanth + Vrishin</v>
      </c>
      <c r="J21" s="2"/>
      <c r="K21" s="2"/>
      <c r="L21" s="2" t="str">
        <f t="shared" si="0"/>
        <v/>
      </c>
    </row>
    <row r="22" spans="1:12" ht="16" x14ac:dyDescent="0.2">
      <c r="A22" s="2" t="s">
        <v>26</v>
      </c>
      <c r="B22" s="2" t="s">
        <v>11</v>
      </c>
      <c r="C22" s="2" t="s">
        <v>27</v>
      </c>
      <c r="D22" s="2" t="s">
        <v>28</v>
      </c>
      <c r="E22" s="2"/>
      <c r="F22" s="2" t="s">
        <v>29</v>
      </c>
      <c r="G22" s="2" t="s">
        <v>21</v>
      </c>
      <c r="H22" s="2" t="str">
        <f>INDEX('[1]Team &amp; Players'!$I$2:$I$7,MATCH(C22,'[1]Team &amp; Players'!$A$2:$A$7,0))&amp;" + "&amp;INDEX('[1]Team &amp; Players'!$J$2:$J$7,MATCH(C22,'[1]Team &amp; Players'!$A$2:$A$7,0))</f>
        <v>Khush B + Hemanth</v>
      </c>
      <c r="I22" s="2" t="str">
        <f>INDEX('[1]Team &amp; Players'!$I$2:$I$7,MATCH(D22,'[1]Team &amp; Players'!$A$2:$A$7,0))&amp;" + "&amp;INDEX('[1]Team &amp; Players'!$J$2:$J$7,MATCH(D22,'[1]Team &amp; Players'!$A$2:$A$7,0))</f>
        <v>Rohith + Darshan H</v>
      </c>
      <c r="J22" s="2"/>
      <c r="K22" s="2"/>
      <c r="L22" s="2" t="str">
        <f t="shared" si="0"/>
        <v/>
      </c>
    </row>
    <row r="23" spans="1:12" ht="16" x14ac:dyDescent="0.2">
      <c r="A23" s="2" t="s">
        <v>26</v>
      </c>
      <c r="B23" s="2" t="s">
        <v>22</v>
      </c>
      <c r="C23" s="2" t="s">
        <v>12</v>
      </c>
      <c r="D23" s="2" t="s">
        <v>23</v>
      </c>
      <c r="E23" s="2"/>
      <c r="F23" s="2" t="s">
        <v>30</v>
      </c>
      <c r="G23" s="2" t="s">
        <v>15</v>
      </c>
      <c r="H23" s="2" t="str">
        <f>INDEX('[1]Team &amp; Players'!$C$2:$C$7,MATCH(C23,'[1]Team &amp; Players'!$A$2:$A$7,0))</f>
        <v>Amrutha</v>
      </c>
      <c r="I23" s="2" t="str">
        <f>INDEX('[1]Team &amp; Players'!$C$2:$C$7,MATCH(D23,'[1]Team &amp; Players'!$A$2:$A$7,0))</f>
        <v>Mamta</v>
      </c>
      <c r="J23" s="2"/>
      <c r="K23" s="2"/>
      <c r="L23" s="2" t="str">
        <f t="shared" si="0"/>
        <v/>
      </c>
    </row>
    <row r="24" spans="1:12" ht="16" x14ac:dyDescent="0.2">
      <c r="A24" s="2" t="s">
        <v>26</v>
      </c>
      <c r="B24" s="2" t="s">
        <v>22</v>
      </c>
      <c r="C24" s="2" t="s">
        <v>12</v>
      </c>
      <c r="D24" s="2" t="s">
        <v>23</v>
      </c>
      <c r="E24" s="2"/>
      <c r="F24" s="2" t="s">
        <v>30</v>
      </c>
      <c r="G24" s="2" t="s">
        <v>16</v>
      </c>
      <c r="H24" s="2" t="str">
        <f>INDEX('[1]Team &amp; Players'!$C$2:$C$7,MATCH(C24,'[1]Team &amp; Players'!$A$2:$A$7,0))&amp;" + "&amp;INDEX('[1]Team &amp; Players'!$D$2:$D$7,MATCH(C24,'[1]Team &amp; Players'!$A$2:$A$7,0))</f>
        <v>Amrutha + Neha</v>
      </c>
      <c r="I24" s="2" t="str">
        <f>INDEX('[1]Team &amp; Players'!$C$2:$C$7,MATCH(D24,'[1]Team &amp; Players'!$A$2:$A$7,0))&amp;" + "&amp;INDEX('[1]Team &amp; Players'!$D$2:$D$7,MATCH(D24,'[1]Team &amp; Players'!$A$2:$A$7,0))</f>
        <v>Mamta + Rithu</v>
      </c>
      <c r="J24" s="2"/>
      <c r="K24" s="2"/>
      <c r="L24" s="2" t="str">
        <f t="shared" si="0"/>
        <v/>
      </c>
    </row>
    <row r="25" spans="1:12" ht="16" x14ac:dyDescent="0.2">
      <c r="A25" s="2" t="s">
        <v>26</v>
      </c>
      <c r="B25" s="2" t="s">
        <v>22</v>
      </c>
      <c r="C25" s="2" t="s">
        <v>12</v>
      </c>
      <c r="D25" s="2" t="s">
        <v>23</v>
      </c>
      <c r="E25" s="2"/>
      <c r="F25" s="2" t="s">
        <v>30</v>
      </c>
      <c r="G25" s="2" t="s">
        <v>17</v>
      </c>
      <c r="H25" s="2" t="str">
        <f>INDEX('[1]Team &amp; Players'!$D$2:$D$7,MATCH(C25,'[1]Team &amp; Players'!$A$2:$A$7,0))&amp;" + "&amp;INDEX('[1]Team &amp; Players'!$K$2:$K$7,MATCH(C25,'[1]Team &amp; Players'!$A$2:$A$7,0))</f>
        <v>Neha + Dhruv Jaju</v>
      </c>
      <c r="I25" s="2" t="str">
        <f>INDEX('[1]Team &amp; Players'!$D$2:$D$7,MATCH(D25,'[1]Team &amp; Players'!$A$2:$A$7,0))&amp;" + "&amp;INDEX('[1]Team &amp; Players'!$K$2:$K$7,MATCH(D25,'[1]Team &amp; Players'!$A$2:$A$7,0))</f>
        <v>Rithu + Darshan Patel</v>
      </c>
      <c r="J25" s="2"/>
      <c r="K25" s="2"/>
      <c r="L25" s="2" t="str">
        <f t="shared" si="0"/>
        <v/>
      </c>
    </row>
    <row r="26" spans="1:12" ht="16" x14ac:dyDescent="0.2">
      <c r="A26" s="2" t="s">
        <v>26</v>
      </c>
      <c r="B26" s="2" t="s">
        <v>22</v>
      </c>
      <c r="C26" s="2" t="s">
        <v>12</v>
      </c>
      <c r="D26" s="2" t="s">
        <v>23</v>
      </c>
      <c r="E26" s="2"/>
      <c r="F26" s="2" t="s">
        <v>30</v>
      </c>
      <c r="G26" s="2" t="s">
        <v>18</v>
      </c>
      <c r="H26" s="2" t="str">
        <f>INDEX('[1]Team &amp; Players'!$E$2:$E$7,MATCH(C26,'[1]Team &amp; Players'!$A$2:$A$7,0))</f>
        <v>Saurabh</v>
      </c>
      <c r="I26" s="2" t="str">
        <f>INDEX('[1]Team &amp; Players'!$E$2:$E$7,MATCH(D26,'[1]Team &amp; Players'!$A$2:$A$7,0))</f>
        <v>Sujal</v>
      </c>
      <c r="J26" s="2"/>
      <c r="K26" s="2"/>
      <c r="L26" s="2" t="str">
        <f t="shared" si="0"/>
        <v/>
      </c>
    </row>
    <row r="27" spans="1:12" ht="16" x14ac:dyDescent="0.2">
      <c r="A27" s="2" t="s">
        <v>26</v>
      </c>
      <c r="B27" s="2" t="s">
        <v>22</v>
      </c>
      <c r="C27" s="2" t="s">
        <v>12</v>
      </c>
      <c r="D27" s="2" t="s">
        <v>23</v>
      </c>
      <c r="E27" s="2"/>
      <c r="F27" s="2" t="s">
        <v>30</v>
      </c>
      <c r="G27" s="2" t="s">
        <v>19</v>
      </c>
      <c r="H27" s="2" t="str">
        <f>INDEX('[1]Team &amp; Players'!$F$2:$F$7,MATCH(C27,'[1]Team &amp; Players'!$A$2:$A$7,0))</f>
        <v>Aman Doshi</v>
      </c>
      <c r="I27" s="2" t="str">
        <f>INDEX('[1]Team &amp; Players'!$F$2:$F$7,MATCH(D27,'[1]Team &amp; Players'!$A$2:$A$7,0))</f>
        <v>Niraj Salot</v>
      </c>
      <c r="J27" s="2"/>
      <c r="K27" s="2"/>
      <c r="L27" s="2" t="str">
        <f t="shared" si="0"/>
        <v/>
      </c>
    </row>
    <row r="28" spans="1:12" ht="16" x14ac:dyDescent="0.2">
      <c r="A28" s="2" t="s">
        <v>26</v>
      </c>
      <c r="B28" s="2" t="s">
        <v>22</v>
      </c>
      <c r="C28" s="2" t="s">
        <v>12</v>
      </c>
      <c r="D28" s="2" t="s">
        <v>23</v>
      </c>
      <c r="E28" s="2"/>
      <c r="F28" s="2" t="s">
        <v>30</v>
      </c>
      <c r="G28" s="2" t="s">
        <v>20</v>
      </c>
      <c r="H28" s="2" t="str">
        <f>INDEX('[1]Team &amp; Players'!$G$2:$G$7,MATCH(C28,'[1]Team &amp; Players'!$A$2:$A$7,0))&amp;" + "&amp;INDEX('[1]Team &amp; Players'!$H$2:$H$7,MATCH(C28,'[1]Team &amp; Players'!$A$2:$A$7,0))</f>
        <v>Nikhil M + Jinendar</v>
      </c>
      <c r="I28" s="2" t="str">
        <f>INDEX('[1]Team &amp; Players'!$G$2:$G$7,MATCH(D28,'[1]Team &amp; Players'!$A$2:$A$7,0))&amp;" + "&amp;INDEX('[1]Team &amp; Players'!$H$2:$H$7,MATCH(D28,'[1]Team &amp; Players'!$A$2:$A$7,0))</f>
        <v>Kunal D + Anirudha H</v>
      </c>
      <c r="J28" s="2"/>
      <c r="K28" s="2"/>
      <c r="L28" s="2" t="str">
        <f t="shared" si="0"/>
        <v/>
      </c>
    </row>
    <row r="29" spans="1:12" ht="16" x14ac:dyDescent="0.2">
      <c r="A29" s="2" t="s">
        <v>26</v>
      </c>
      <c r="B29" s="2" t="s">
        <v>22</v>
      </c>
      <c r="C29" s="2" t="s">
        <v>12</v>
      </c>
      <c r="D29" s="2" t="s">
        <v>23</v>
      </c>
      <c r="E29" s="2"/>
      <c r="F29" s="2" t="s">
        <v>30</v>
      </c>
      <c r="G29" s="2" t="s">
        <v>21</v>
      </c>
      <c r="H29" s="2" t="str">
        <f>INDEX('[1]Team &amp; Players'!$I$2:$I$7,MATCH(C29,'[1]Team &amp; Players'!$A$2:$A$7,0))&amp;" + "&amp;INDEX('[1]Team &amp; Players'!$J$2:$J$7,MATCH(C29,'[1]Team &amp; Players'!$A$2:$A$7,0))</f>
        <v>Sreesha + Manan</v>
      </c>
      <c r="I29" s="2" t="str">
        <f>INDEX('[1]Team &amp; Players'!$I$2:$I$7,MATCH(D29,'[1]Team &amp; Players'!$A$2:$A$7,0))&amp;" + "&amp;INDEX('[1]Team &amp; Players'!$J$2:$J$7,MATCH(D29,'[1]Team &amp; Players'!$A$2:$A$7,0))</f>
        <v>Sarvesh H + Deviprasad</v>
      </c>
      <c r="J29" s="2"/>
      <c r="K29" s="2"/>
      <c r="L29" s="2" t="str">
        <f t="shared" si="0"/>
        <v/>
      </c>
    </row>
    <row r="30" spans="1:12" ht="16" x14ac:dyDescent="0.2">
      <c r="A30" s="2" t="s">
        <v>31</v>
      </c>
      <c r="B30" s="2" t="s">
        <v>11</v>
      </c>
      <c r="C30" s="2" t="s">
        <v>13</v>
      </c>
      <c r="D30" s="2" t="s">
        <v>27</v>
      </c>
      <c r="E30" s="2"/>
      <c r="F30" s="2" t="s">
        <v>32</v>
      </c>
      <c r="G30" s="2" t="s">
        <v>15</v>
      </c>
      <c r="H30" s="2" t="str">
        <f>INDEX('[1]Team &amp; Players'!$C$2:$C$7,MATCH(C30,'[1]Team &amp; Players'!$A$2:$A$7,0))</f>
        <v>Vaishnavi M</v>
      </c>
      <c r="I30" s="2" t="str">
        <f>INDEX('[1]Team &amp; Players'!$C$2:$C$7,MATCH(D30,'[1]Team &amp; Players'!$A$2:$A$7,0))</f>
        <v>Subashree</v>
      </c>
      <c r="J30" s="2"/>
      <c r="K30" s="2"/>
      <c r="L30" s="2" t="str">
        <f t="shared" si="0"/>
        <v/>
      </c>
    </row>
    <row r="31" spans="1:12" ht="16" x14ac:dyDescent="0.2">
      <c r="A31" s="2" t="s">
        <v>31</v>
      </c>
      <c r="B31" s="2" t="s">
        <v>11</v>
      </c>
      <c r="C31" s="2" t="s">
        <v>13</v>
      </c>
      <c r="D31" s="2" t="s">
        <v>27</v>
      </c>
      <c r="E31" s="2"/>
      <c r="F31" s="2" t="s">
        <v>32</v>
      </c>
      <c r="G31" s="2" t="s">
        <v>16</v>
      </c>
      <c r="H31" s="2" t="str">
        <f>INDEX('[1]Team &amp; Players'!$C$2:$C$7,MATCH(C31,'[1]Team &amp; Players'!$A$2:$A$7,0))&amp;" + "&amp;INDEX('[1]Team &amp; Players'!$D$2:$D$7,MATCH(C31,'[1]Team &amp; Players'!$A$2:$A$7,0))</f>
        <v>Vaishnavi M + Keerthana</v>
      </c>
      <c r="I31" s="2" t="str">
        <f>INDEX('[1]Team &amp; Players'!$C$2:$C$7,MATCH(D31,'[1]Team &amp; Players'!$A$2:$A$7,0))&amp;" + "&amp;INDEX('[1]Team &amp; Players'!$D$2:$D$7,MATCH(D31,'[1]Team &amp; Players'!$A$2:$A$7,0))</f>
        <v>Subashree + Sanjana</v>
      </c>
      <c r="J31" s="2"/>
      <c r="K31" s="2"/>
      <c r="L31" s="2" t="str">
        <f t="shared" si="0"/>
        <v/>
      </c>
    </row>
    <row r="32" spans="1:12" ht="16" x14ac:dyDescent="0.2">
      <c r="A32" s="2" t="s">
        <v>31</v>
      </c>
      <c r="B32" s="2" t="s">
        <v>11</v>
      </c>
      <c r="C32" s="2" t="s">
        <v>13</v>
      </c>
      <c r="D32" s="2" t="s">
        <v>27</v>
      </c>
      <c r="E32" s="2"/>
      <c r="F32" s="2" t="s">
        <v>32</v>
      </c>
      <c r="G32" s="2" t="s">
        <v>17</v>
      </c>
      <c r="H32" s="2" t="str">
        <f>INDEX('[1]Team &amp; Players'!$D$2:$D$7,MATCH(C32,'[1]Team &amp; Players'!$A$2:$A$7,0))&amp;" + "&amp;INDEX('[1]Team &amp; Players'!$K$2:$K$7,MATCH(C32,'[1]Team &amp; Players'!$A$2:$A$7,0))</f>
        <v>Keerthana + Abhiram</v>
      </c>
      <c r="I32" s="2" t="str">
        <f>INDEX('[1]Team &amp; Players'!$D$2:$D$7,MATCH(D32,'[1]Team &amp; Players'!$A$2:$A$7,0))&amp;" + "&amp;INDEX('[1]Team &amp; Players'!$K$2:$K$7,MATCH(D32,'[1]Team &amp; Players'!$A$2:$A$7,0))</f>
        <v>Sanjana + Bharatha S</v>
      </c>
      <c r="J32" s="2"/>
      <c r="K32" s="2"/>
      <c r="L32" s="2" t="str">
        <f t="shared" si="0"/>
        <v/>
      </c>
    </row>
    <row r="33" spans="1:12" ht="16" x14ac:dyDescent="0.2">
      <c r="A33" s="2" t="s">
        <v>31</v>
      </c>
      <c r="B33" s="2" t="s">
        <v>11</v>
      </c>
      <c r="C33" s="2" t="s">
        <v>13</v>
      </c>
      <c r="D33" s="2" t="s">
        <v>27</v>
      </c>
      <c r="E33" s="2"/>
      <c r="F33" s="2" t="s">
        <v>32</v>
      </c>
      <c r="G33" s="2" t="s">
        <v>18</v>
      </c>
      <c r="H33" s="2" t="str">
        <f>INDEX('[1]Team &amp; Players'!$E$2:$E$7,MATCH(C33,'[1]Team &amp; Players'!$A$2:$A$7,0))</f>
        <v>Dhruv C</v>
      </c>
      <c r="I33" s="2" t="str">
        <f>INDEX('[1]Team &amp; Players'!$E$2:$E$7,MATCH(D33,'[1]Team &amp; Players'!$A$2:$A$7,0))</f>
        <v>Naman</v>
      </c>
      <c r="J33" s="2"/>
      <c r="K33" s="2"/>
      <c r="L33" s="2" t="str">
        <f t="shared" si="0"/>
        <v/>
      </c>
    </row>
    <row r="34" spans="1:12" ht="16" x14ac:dyDescent="0.2">
      <c r="A34" s="2" t="s">
        <v>31</v>
      </c>
      <c r="B34" s="2" t="s">
        <v>11</v>
      </c>
      <c r="C34" s="2" t="s">
        <v>13</v>
      </c>
      <c r="D34" s="2" t="s">
        <v>27</v>
      </c>
      <c r="E34" s="2"/>
      <c r="F34" s="2" t="s">
        <v>32</v>
      </c>
      <c r="G34" s="2" t="s">
        <v>19</v>
      </c>
      <c r="H34" s="2" t="str">
        <f>INDEX('[1]Team &amp; Players'!$F$2:$F$7,MATCH(C34,'[1]Team &amp; Players'!$A$2:$A$7,0))</f>
        <v>Avaneesh</v>
      </c>
      <c r="I34" s="2" t="str">
        <f>INDEX('[1]Team &amp; Players'!$F$2:$F$7,MATCH(D34,'[1]Team &amp; Players'!$A$2:$A$7,0))</f>
        <v>Jay B</v>
      </c>
      <c r="J34" s="2"/>
      <c r="K34" s="2"/>
      <c r="L34" s="2" t="str">
        <f t="shared" si="0"/>
        <v/>
      </c>
    </row>
    <row r="35" spans="1:12" ht="16" x14ac:dyDescent="0.2">
      <c r="A35" s="2" t="s">
        <v>31</v>
      </c>
      <c r="B35" s="2" t="s">
        <v>11</v>
      </c>
      <c r="C35" s="2" t="s">
        <v>13</v>
      </c>
      <c r="D35" s="2" t="s">
        <v>27</v>
      </c>
      <c r="E35" s="2"/>
      <c r="F35" s="2" t="s">
        <v>32</v>
      </c>
      <c r="G35" s="2" t="s">
        <v>20</v>
      </c>
      <c r="H35" s="2" t="str">
        <f>INDEX('[1]Team &amp; Players'!$G$2:$G$7,MATCH(C35,'[1]Team &amp; Players'!$A$2:$A$7,0))&amp;" + "&amp;INDEX('[1]Team &amp; Players'!$H$2:$H$7,MATCH(C35,'[1]Team &amp; Players'!$A$2:$A$7,0))</f>
        <v>Kushal  + Shubham</v>
      </c>
      <c r="I35" s="2" t="str">
        <f>INDEX('[1]Team &amp; Players'!$G$2:$G$7,MATCH(D35,'[1]Team &amp; Players'!$A$2:$A$7,0))&amp;" + "&amp;INDEX('[1]Team &amp; Players'!$H$2:$H$7,MATCH(D35,'[1]Team &amp; Players'!$A$2:$A$7,0))</f>
        <v>Leela Sagar + Ali Akbar</v>
      </c>
      <c r="J35" s="2"/>
      <c r="K35" s="2"/>
      <c r="L35" s="2" t="str">
        <f t="shared" si="0"/>
        <v/>
      </c>
    </row>
    <row r="36" spans="1:12" ht="16" x14ac:dyDescent="0.2">
      <c r="A36" s="2" t="s">
        <v>31</v>
      </c>
      <c r="B36" s="2" t="s">
        <v>11</v>
      </c>
      <c r="C36" s="2" t="s">
        <v>13</v>
      </c>
      <c r="D36" s="2" t="s">
        <v>27</v>
      </c>
      <c r="E36" s="2"/>
      <c r="F36" s="2" t="s">
        <v>32</v>
      </c>
      <c r="G36" s="2" t="s">
        <v>21</v>
      </c>
      <c r="H36" s="2" t="str">
        <f>INDEX('[1]Team &amp; Players'!$I$2:$I$7,MATCH(C36,'[1]Team &amp; Players'!$A$2:$A$7,0))&amp;" + "&amp;INDEX('[1]Team &amp; Players'!$J$2:$J$7,MATCH(C36,'[1]Team &amp; Players'!$A$2:$A$7,0))</f>
        <v>Yuvraj + Karthik KB</v>
      </c>
      <c r="I36" s="2" t="str">
        <f>INDEX('[1]Team &amp; Players'!$I$2:$I$7,MATCH(D36,'[1]Team &amp; Players'!$A$2:$A$7,0))&amp;" + "&amp;INDEX('[1]Team &amp; Players'!$J$2:$J$7,MATCH(D36,'[1]Team &amp; Players'!$A$2:$A$7,0))</f>
        <v>Khush B + Hemanth</v>
      </c>
      <c r="J36" s="2"/>
      <c r="K36" s="2"/>
      <c r="L36" s="2" t="str">
        <f t="shared" si="0"/>
        <v/>
      </c>
    </row>
    <row r="37" spans="1:12" ht="16" x14ac:dyDescent="0.2">
      <c r="A37" s="2" t="s">
        <v>31</v>
      </c>
      <c r="B37" s="2" t="s">
        <v>22</v>
      </c>
      <c r="C37" s="2" t="s">
        <v>28</v>
      </c>
      <c r="D37" s="2" t="s">
        <v>24</v>
      </c>
      <c r="E37" s="2"/>
      <c r="F37" s="2" t="s">
        <v>33</v>
      </c>
      <c r="G37" s="2" t="s">
        <v>15</v>
      </c>
      <c r="H37" s="2" t="str">
        <f>INDEX('[1]Team &amp; Players'!$C$2:$C$7,MATCH(C37,'[1]Team &amp; Players'!$A$2:$A$7,0))</f>
        <v>Riya</v>
      </c>
      <c r="I37" s="2" t="str">
        <f>INDEX('[1]Team &amp; Players'!$C$2:$C$7,MATCH(D37,'[1]Team &amp; Players'!$A$2:$A$7,0))</f>
        <v>Neha P Jain</v>
      </c>
      <c r="J37" s="2"/>
      <c r="K37" s="2"/>
      <c r="L37" s="2" t="str">
        <f t="shared" si="0"/>
        <v/>
      </c>
    </row>
    <row r="38" spans="1:12" ht="16" x14ac:dyDescent="0.2">
      <c r="A38" s="2" t="s">
        <v>31</v>
      </c>
      <c r="B38" s="2" t="s">
        <v>22</v>
      </c>
      <c r="C38" s="2" t="s">
        <v>28</v>
      </c>
      <c r="D38" s="2" t="s">
        <v>24</v>
      </c>
      <c r="E38" s="2"/>
      <c r="F38" s="2" t="s">
        <v>33</v>
      </c>
      <c r="G38" s="2" t="s">
        <v>16</v>
      </c>
      <c r="H38" s="2" t="str">
        <f>INDEX('[1]Team &amp; Players'!$C$2:$C$7,MATCH(C38,'[1]Team &amp; Players'!$A$2:$A$7,0))&amp;" + "&amp;INDEX('[1]Team &amp; Players'!$D$2:$D$7,MATCH(C38,'[1]Team &amp; Players'!$A$2:$A$7,0))</f>
        <v>Riya + Yukti</v>
      </c>
      <c r="I38" s="2" t="str">
        <f>INDEX('[1]Team &amp; Players'!$C$2:$C$7,MATCH(D38,'[1]Team &amp; Players'!$A$2:$A$7,0))&amp;" + "&amp;INDEX('[1]Team &amp; Players'!$D$2:$D$7,MATCH(D38,'[1]Team &amp; Players'!$A$2:$A$7,0))</f>
        <v>Neha P Jain + Drishti</v>
      </c>
      <c r="J38" s="2"/>
      <c r="K38" s="2"/>
      <c r="L38" s="2" t="str">
        <f t="shared" si="0"/>
        <v/>
      </c>
    </row>
    <row r="39" spans="1:12" ht="16" x14ac:dyDescent="0.2">
      <c r="A39" s="2" t="s">
        <v>31</v>
      </c>
      <c r="B39" s="2" t="s">
        <v>22</v>
      </c>
      <c r="C39" s="2" t="s">
        <v>28</v>
      </c>
      <c r="D39" s="2" t="s">
        <v>24</v>
      </c>
      <c r="E39" s="2"/>
      <c r="F39" s="2" t="s">
        <v>33</v>
      </c>
      <c r="G39" s="2" t="s">
        <v>17</v>
      </c>
      <c r="H39" s="2" t="str">
        <f>INDEX('[1]Team &amp; Players'!$D$2:$D$7,MATCH(C39,'[1]Team &amp; Players'!$A$2:$A$7,0))&amp;" + "&amp;INDEX('[1]Team &amp; Players'!$K$2:$K$7,MATCH(C39,'[1]Team &amp; Players'!$A$2:$A$7,0))</f>
        <v>Yukti + Niranjan</v>
      </c>
      <c r="I39" s="2" t="str">
        <f>INDEX('[1]Team &amp; Players'!$D$2:$D$7,MATCH(D39,'[1]Team &amp; Players'!$A$2:$A$7,0))&amp;" + "&amp;INDEX('[1]Team &amp; Players'!$K$2:$K$7,MATCH(D39,'[1]Team &amp; Players'!$A$2:$A$7,0))</f>
        <v>Drishti + Sanath</v>
      </c>
      <c r="J39" s="2"/>
      <c r="K39" s="2"/>
      <c r="L39" s="2" t="str">
        <f t="shared" si="0"/>
        <v/>
      </c>
    </row>
    <row r="40" spans="1:12" ht="16" x14ac:dyDescent="0.2">
      <c r="A40" s="2" t="s">
        <v>31</v>
      </c>
      <c r="B40" s="2" t="s">
        <v>22</v>
      </c>
      <c r="C40" s="2" t="s">
        <v>28</v>
      </c>
      <c r="D40" s="2" t="s">
        <v>24</v>
      </c>
      <c r="E40" s="2"/>
      <c r="F40" s="2" t="s">
        <v>33</v>
      </c>
      <c r="G40" s="2" t="s">
        <v>18</v>
      </c>
      <c r="H40" s="2" t="str">
        <f>INDEX('[1]Team &amp; Players'!$E$2:$E$7,MATCH(C40,'[1]Team &amp; Players'!$A$2:$A$7,0))</f>
        <v>Pavan D</v>
      </c>
      <c r="I40" s="2" t="str">
        <f>INDEX('[1]Team &amp; Players'!$E$2:$E$7,MATCH(D40,'[1]Team &amp; Players'!$A$2:$A$7,0))</f>
        <v>Anshul</v>
      </c>
      <c r="J40" s="2"/>
      <c r="K40" s="2"/>
      <c r="L40" s="2" t="str">
        <f t="shared" si="0"/>
        <v/>
      </c>
    </row>
    <row r="41" spans="1:12" ht="16" x14ac:dyDescent="0.2">
      <c r="A41" s="2" t="s">
        <v>31</v>
      </c>
      <c r="B41" s="2" t="s">
        <v>22</v>
      </c>
      <c r="C41" s="2" t="s">
        <v>28</v>
      </c>
      <c r="D41" s="2" t="s">
        <v>24</v>
      </c>
      <c r="E41" s="2"/>
      <c r="F41" s="2" t="s">
        <v>33</v>
      </c>
      <c r="G41" s="2" t="s">
        <v>19</v>
      </c>
      <c r="H41" s="2" t="str">
        <f>INDEX('[1]Team &amp; Players'!$F$2:$F$7,MATCH(C41,'[1]Team &amp; Players'!$A$2:$A$7,0))</f>
        <v>Vidwan</v>
      </c>
      <c r="I41" s="2" t="str">
        <f>INDEX('[1]Team &amp; Players'!$F$2:$F$7,MATCH(D41,'[1]Team &amp; Players'!$A$2:$A$7,0))</f>
        <v>Navtej</v>
      </c>
      <c r="J41" s="2"/>
      <c r="K41" s="2"/>
      <c r="L41" s="2" t="str">
        <f t="shared" si="0"/>
        <v/>
      </c>
    </row>
    <row r="42" spans="1:12" ht="32" x14ac:dyDescent="0.2">
      <c r="A42" s="2" t="s">
        <v>31</v>
      </c>
      <c r="B42" s="2" t="s">
        <v>22</v>
      </c>
      <c r="C42" s="2" t="s">
        <v>28</v>
      </c>
      <c r="D42" s="2" t="s">
        <v>24</v>
      </c>
      <c r="E42" s="2"/>
      <c r="F42" s="2" t="s">
        <v>33</v>
      </c>
      <c r="G42" s="2" t="s">
        <v>20</v>
      </c>
      <c r="H42" s="2" t="str">
        <f>INDEX('[1]Team &amp; Players'!$G$2:$G$7,MATCH(C42,'[1]Team &amp; Players'!$A$2:$A$7,0))&amp;" + "&amp;INDEX('[1]Team &amp; Players'!$H$2:$H$7,MATCH(C42,'[1]Team &amp; Players'!$A$2:$A$7,0))</f>
        <v>Shravanth + Vrishin</v>
      </c>
      <c r="I42" s="2" t="str">
        <f>INDEX('[1]Team &amp; Players'!$G$2:$G$7,MATCH(D42,'[1]Team &amp; Players'!$A$2:$A$7,0))&amp;" + "&amp;INDEX('[1]Team &amp; Players'!$H$2:$H$7,MATCH(D42,'[1]Team &amp; Players'!$A$2:$A$7,0))</f>
        <v>Nagarajan  + Chandrashaker Joshi</v>
      </c>
      <c r="J42" s="2"/>
      <c r="K42" s="2"/>
      <c r="L42" s="2" t="str">
        <f t="shared" si="0"/>
        <v/>
      </c>
    </row>
    <row r="43" spans="1:12" ht="16" x14ac:dyDescent="0.2">
      <c r="A43" s="2" t="s">
        <v>31</v>
      </c>
      <c r="B43" s="2" t="s">
        <v>22</v>
      </c>
      <c r="C43" s="2" t="s">
        <v>28</v>
      </c>
      <c r="D43" s="2" t="s">
        <v>24</v>
      </c>
      <c r="E43" s="2"/>
      <c r="F43" s="2" t="s">
        <v>33</v>
      </c>
      <c r="G43" s="2" t="s">
        <v>21</v>
      </c>
      <c r="H43" s="2" t="str">
        <f>INDEX('[1]Team &amp; Players'!$I$2:$I$7,MATCH(C43,'[1]Team &amp; Players'!$A$2:$A$7,0))&amp;" + "&amp;INDEX('[1]Team &amp; Players'!$J$2:$J$7,MATCH(C43,'[1]Team &amp; Players'!$A$2:$A$7,0))</f>
        <v>Rohith + Darshan H</v>
      </c>
      <c r="I43" s="2" t="str">
        <f>INDEX('[1]Team &amp; Players'!$I$2:$I$7,MATCH(D43,'[1]Team &amp; Players'!$A$2:$A$7,0))&amp;" + "&amp;INDEX('[1]Team &amp; Players'!$J$2:$J$7,MATCH(D43,'[1]Team &amp; Players'!$A$2:$A$7,0))</f>
        <v>Rohan + Bhuvanesh</v>
      </c>
      <c r="J43" s="2"/>
      <c r="K43" s="2"/>
      <c r="L43" s="2" t="str">
        <f t="shared" si="0"/>
        <v/>
      </c>
    </row>
    <row r="44" spans="1:12" ht="16" x14ac:dyDescent="0.2">
      <c r="A44" s="2" t="s">
        <v>34</v>
      </c>
      <c r="B44" s="2" t="s">
        <v>11</v>
      </c>
      <c r="C44" s="2" t="s">
        <v>12</v>
      </c>
      <c r="D44" s="2" t="s">
        <v>27</v>
      </c>
      <c r="E44" s="2"/>
      <c r="F44" s="2" t="s">
        <v>35</v>
      </c>
      <c r="G44" s="2" t="s">
        <v>15</v>
      </c>
      <c r="H44" s="2" t="str">
        <f>INDEX('[1]Team &amp; Players'!$C$2:$C$7,MATCH(C44,'[1]Team &amp; Players'!$A$2:$A$7,0))</f>
        <v>Amrutha</v>
      </c>
      <c r="I44" s="2" t="str">
        <f>INDEX('[1]Team &amp; Players'!$C$2:$C$7,MATCH(D44,'[1]Team &amp; Players'!$A$2:$A$7,0))</f>
        <v>Subashree</v>
      </c>
      <c r="J44" s="2"/>
      <c r="K44" s="2"/>
      <c r="L44" s="2" t="str">
        <f t="shared" si="0"/>
        <v/>
      </c>
    </row>
    <row r="45" spans="1:12" ht="16" x14ac:dyDescent="0.2">
      <c r="A45" s="2" t="s">
        <v>34</v>
      </c>
      <c r="B45" s="2" t="s">
        <v>11</v>
      </c>
      <c r="C45" s="2" t="s">
        <v>12</v>
      </c>
      <c r="D45" s="2" t="s">
        <v>27</v>
      </c>
      <c r="E45" s="2"/>
      <c r="F45" s="2" t="s">
        <v>35</v>
      </c>
      <c r="G45" s="2" t="s">
        <v>16</v>
      </c>
      <c r="H45" s="2" t="str">
        <f>INDEX('[1]Team &amp; Players'!$C$2:$C$7,MATCH(C45,'[1]Team &amp; Players'!$A$2:$A$7,0))&amp;" + "&amp;INDEX('[1]Team &amp; Players'!$D$2:$D$7,MATCH(C45,'[1]Team &amp; Players'!$A$2:$A$7,0))</f>
        <v>Amrutha + Neha</v>
      </c>
      <c r="I45" s="2" t="str">
        <f>INDEX('[1]Team &amp; Players'!$C$2:$C$7,MATCH(D45,'[1]Team &amp; Players'!$A$2:$A$7,0))&amp;" + "&amp;INDEX('[1]Team &amp; Players'!$D$2:$D$7,MATCH(D45,'[1]Team &amp; Players'!$A$2:$A$7,0))</f>
        <v>Subashree + Sanjana</v>
      </c>
      <c r="J45" s="2"/>
      <c r="K45" s="2"/>
      <c r="L45" s="2" t="str">
        <f t="shared" si="0"/>
        <v/>
      </c>
    </row>
    <row r="46" spans="1:12" ht="16" x14ac:dyDescent="0.2">
      <c r="A46" s="2" t="s">
        <v>34</v>
      </c>
      <c r="B46" s="2" t="s">
        <v>11</v>
      </c>
      <c r="C46" s="2" t="s">
        <v>12</v>
      </c>
      <c r="D46" s="2" t="s">
        <v>27</v>
      </c>
      <c r="E46" s="2"/>
      <c r="F46" s="2" t="s">
        <v>35</v>
      </c>
      <c r="G46" s="2" t="s">
        <v>17</v>
      </c>
      <c r="H46" s="2" t="str">
        <f>INDEX('[1]Team &amp; Players'!$D$2:$D$7,MATCH(C46,'[1]Team &amp; Players'!$A$2:$A$7,0))&amp;" + "&amp;INDEX('[1]Team &amp; Players'!$K$2:$K$7,MATCH(C46,'[1]Team &amp; Players'!$A$2:$A$7,0))</f>
        <v>Neha + Dhruv Jaju</v>
      </c>
      <c r="I46" s="2" t="str">
        <f>INDEX('[1]Team &amp; Players'!$D$2:$D$7,MATCH(D46,'[1]Team &amp; Players'!$A$2:$A$7,0))&amp;" + "&amp;INDEX('[1]Team &amp; Players'!$K$2:$K$7,MATCH(D46,'[1]Team &amp; Players'!$A$2:$A$7,0))</f>
        <v>Sanjana + Bharatha S</v>
      </c>
      <c r="J46" s="2"/>
      <c r="K46" s="2"/>
      <c r="L46" s="2" t="str">
        <f t="shared" si="0"/>
        <v/>
      </c>
    </row>
    <row r="47" spans="1:12" ht="16" x14ac:dyDescent="0.2">
      <c r="A47" s="2" t="s">
        <v>34</v>
      </c>
      <c r="B47" s="2" t="s">
        <v>11</v>
      </c>
      <c r="C47" s="2" t="s">
        <v>12</v>
      </c>
      <c r="D47" s="2" t="s">
        <v>27</v>
      </c>
      <c r="E47" s="2"/>
      <c r="F47" s="2" t="s">
        <v>35</v>
      </c>
      <c r="G47" s="2" t="s">
        <v>18</v>
      </c>
      <c r="H47" s="2" t="str">
        <f>INDEX('[1]Team &amp; Players'!$E$2:$E$7,MATCH(C47,'[1]Team &amp; Players'!$A$2:$A$7,0))</f>
        <v>Saurabh</v>
      </c>
      <c r="I47" s="2" t="str">
        <f>INDEX('[1]Team &amp; Players'!$E$2:$E$7,MATCH(D47,'[1]Team &amp; Players'!$A$2:$A$7,0))</f>
        <v>Naman</v>
      </c>
      <c r="J47" s="2"/>
      <c r="K47" s="2"/>
      <c r="L47" s="2" t="str">
        <f t="shared" si="0"/>
        <v/>
      </c>
    </row>
    <row r="48" spans="1:12" ht="16" x14ac:dyDescent="0.2">
      <c r="A48" s="2" t="s">
        <v>34</v>
      </c>
      <c r="B48" s="2" t="s">
        <v>11</v>
      </c>
      <c r="C48" s="2" t="s">
        <v>12</v>
      </c>
      <c r="D48" s="2" t="s">
        <v>27</v>
      </c>
      <c r="E48" s="2"/>
      <c r="F48" s="2" t="s">
        <v>35</v>
      </c>
      <c r="G48" s="2" t="s">
        <v>19</v>
      </c>
      <c r="H48" s="2" t="str">
        <f>INDEX('[1]Team &amp; Players'!$F$2:$F$7,MATCH(C48,'[1]Team &amp; Players'!$A$2:$A$7,0))</f>
        <v>Aman Doshi</v>
      </c>
      <c r="I48" s="2" t="str">
        <f>INDEX('[1]Team &amp; Players'!$F$2:$F$7,MATCH(D48,'[1]Team &amp; Players'!$A$2:$A$7,0))</f>
        <v>Jay B</v>
      </c>
      <c r="J48" s="2"/>
      <c r="K48" s="2"/>
      <c r="L48" s="2" t="str">
        <f t="shared" si="0"/>
        <v/>
      </c>
    </row>
    <row r="49" spans="1:12" ht="16" x14ac:dyDescent="0.2">
      <c r="A49" s="2" t="s">
        <v>34</v>
      </c>
      <c r="B49" s="2" t="s">
        <v>11</v>
      </c>
      <c r="C49" s="2" t="s">
        <v>12</v>
      </c>
      <c r="D49" s="2" t="s">
        <v>27</v>
      </c>
      <c r="E49" s="2"/>
      <c r="F49" s="2" t="s">
        <v>35</v>
      </c>
      <c r="G49" s="2" t="s">
        <v>20</v>
      </c>
      <c r="H49" s="2" t="str">
        <f>INDEX('[1]Team &amp; Players'!$G$2:$G$7,MATCH(C49,'[1]Team &amp; Players'!$A$2:$A$7,0))&amp;" + "&amp;INDEX('[1]Team &amp; Players'!$H$2:$H$7,MATCH(C49,'[1]Team &amp; Players'!$A$2:$A$7,0))</f>
        <v>Nikhil M + Jinendar</v>
      </c>
      <c r="I49" s="2" t="str">
        <f>INDEX('[1]Team &amp; Players'!$G$2:$G$7,MATCH(D49,'[1]Team &amp; Players'!$A$2:$A$7,0))&amp;" + "&amp;INDEX('[1]Team &amp; Players'!$H$2:$H$7,MATCH(D49,'[1]Team &amp; Players'!$A$2:$A$7,0))</f>
        <v>Leela Sagar + Ali Akbar</v>
      </c>
      <c r="J49" s="2"/>
      <c r="K49" s="2"/>
      <c r="L49" s="2" t="str">
        <f t="shared" si="0"/>
        <v/>
      </c>
    </row>
    <row r="50" spans="1:12" ht="16" x14ac:dyDescent="0.2">
      <c r="A50" s="2" t="s">
        <v>34</v>
      </c>
      <c r="B50" s="2" t="s">
        <v>11</v>
      </c>
      <c r="C50" s="2" t="s">
        <v>12</v>
      </c>
      <c r="D50" s="2" t="s">
        <v>27</v>
      </c>
      <c r="E50" s="2"/>
      <c r="F50" s="2" t="s">
        <v>35</v>
      </c>
      <c r="G50" s="2" t="s">
        <v>21</v>
      </c>
      <c r="H50" s="2" t="str">
        <f>INDEX('[1]Team &amp; Players'!$I$2:$I$7,MATCH(C50,'[1]Team &amp; Players'!$A$2:$A$7,0))&amp;" + "&amp;INDEX('[1]Team &amp; Players'!$J$2:$J$7,MATCH(C50,'[1]Team &amp; Players'!$A$2:$A$7,0))</f>
        <v>Sreesha + Manan</v>
      </c>
      <c r="I50" s="2" t="str">
        <f>INDEX('[1]Team &amp; Players'!$I$2:$I$7,MATCH(D50,'[1]Team &amp; Players'!$A$2:$A$7,0))&amp;" + "&amp;INDEX('[1]Team &amp; Players'!$J$2:$J$7,MATCH(D50,'[1]Team &amp; Players'!$A$2:$A$7,0))</f>
        <v>Khush B + Hemanth</v>
      </c>
      <c r="J50" s="2"/>
      <c r="K50" s="2"/>
      <c r="L50" s="2" t="str">
        <f t="shared" si="0"/>
        <v/>
      </c>
    </row>
    <row r="51" spans="1:12" ht="16" x14ac:dyDescent="0.2">
      <c r="A51" s="2" t="s">
        <v>34</v>
      </c>
      <c r="B51" s="2" t="s">
        <v>22</v>
      </c>
      <c r="C51" s="2" t="s">
        <v>23</v>
      </c>
      <c r="D51" s="2" t="s">
        <v>28</v>
      </c>
      <c r="E51" s="2"/>
      <c r="F51" s="2" t="s">
        <v>36</v>
      </c>
      <c r="G51" s="2" t="s">
        <v>15</v>
      </c>
      <c r="H51" s="2" t="str">
        <f>INDEX('[1]Team &amp; Players'!$C$2:$C$7,MATCH(C51,'[1]Team &amp; Players'!$A$2:$A$7,0))</f>
        <v>Mamta</v>
      </c>
      <c r="I51" s="2" t="str">
        <f>INDEX('[1]Team &amp; Players'!$C$2:$C$7,MATCH(D51,'[1]Team &amp; Players'!$A$2:$A$7,0))</f>
        <v>Riya</v>
      </c>
      <c r="J51" s="2"/>
      <c r="K51" s="2"/>
      <c r="L51" s="2" t="str">
        <f t="shared" si="0"/>
        <v/>
      </c>
    </row>
    <row r="52" spans="1:12" ht="16" x14ac:dyDescent="0.2">
      <c r="A52" s="2" t="s">
        <v>34</v>
      </c>
      <c r="B52" s="2" t="s">
        <v>22</v>
      </c>
      <c r="C52" s="2" t="s">
        <v>23</v>
      </c>
      <c r="D52" s="2" t="s">
        <v>28</v>
      </c>
      <c r="E52" s="2"/>
      <c r="F52" s="2" t="s">
        <v>36</v>
      </c>
      <c r="G52" s="2" t="s">
        <v>16</v>
      </c>
      <c r="H52" s="2" t="str">
        <f>INDEX('[1]Team &amp; Players'!$C$2:$C$7,MATCH(C52,'[1]Team &amp; Players'!$A$2:$A$7,0))&amp;" + "&amp;INDEX('[1]Team &amp; Players'!$D$2:$D$7,MATCH(C52,'[1]Team &amp; Players'!$A$2:$A$7,0))</f>
        <v>Mamta + Rithu</v>
      </c>
      <c r="I52" s="2" t="str">
        <f>INDEX('[1]Team &amp; Players'!$C$2:$C$7,MATCH(D52,'[1]Team &amp; Players'!$A$2:$A$7,0))&amp;" + "&amp;INDEX('[1]Team &amp; Players'!$D$2:$D$7,MATCH(D52,'[1]Team &amp; Players'!$A$2:$A$7,0))</f>
        <v>Riya + Yukti</v>
      </c>
      <c r="J52" s="2"/>
      <c r="K52" s="2"/>
      <c r="L52" s="2" t="str">
        <f t="shared" si="0"/>
        <v/>
      </c>
    </row>
    <row r="53" spans="1:12" ht="16" x14ac:dyDescent="0.2">
      <c r="A53" s="2" t="s">
        <v>34</v>
      </c>
      <c r="B53" s="2" t="s">
        <v>22</v>
      </c>
      <c r="C53" s="2" t="s">
        <v>23</v>
      </c>
      <c r="D53" s="2" t="s">
        <v>28</v>
      </c>
      <c r="E53" s="2"/>
      <c r="F53" s="2" t="s">
        <v>36</v>
      </c>
      <c r="G53" s="2" t="s">
        <v>17</v>
      </c>
      <c r="H53" s="2" t="str">
        <f>INDEX('[1]Team &amp; Players'!$D$2:$D$7,MATCH(C53,'[1]Team &amp; Players'!$A$2:$A$7,0))&amp;" + "&amp;INDEX('[1]Team &amp; Players'!$K$2:$K$7,MATCH(C53,'[1]Team &amp; Players'!$A$2:$A$7,0))</f>
        <v>Rithu + Darshan Patel</v>
      </c>
      <c r="I53" s="2" t="str">
        <f>INDEX('[1]Team &amp; Players'!$D$2:$D$7,MATCH(D53,'[1]Team &amp; Players'!$A$2:$A$7,0))&amp;" + "&amp;INDEX('[1]Team &amp; Players'!$K$2:$K$7,MATCH(D53,'[1]Team &amp; Players'!$A$2:$A$7,0))</f>
        <v>Yukti + Niranjan</v>
      </c>
      <c r="J53" s="2"/>
      <c r="K53" s="2"/>
      <c r="L53" s="2" t="str">
        <f t="shared" si="0"/>
        <v/>
      </c>
    </row>
    <row r="54" spans="1:12" ht="16" x14ac:dyDescent="0.2">
      <c r="A54" s="2" t="s">
        <v>34</v>
      </c>
      <c r="B54" s="2" t="s">
        <v>22</v>
      </c>
      <c r="C54" s="2" t="s">
        <v>23</v>
      </c>
      <c r="D54" s="2" t="s">
        <v>28</v>
      </c>
      <c r="E54" s="2"/>
      <c r="F54" s="2" t="s">
        <v>36</v>
      </c>
      <c r="G54" s="2" t="s">
        <v>18</v>
      </c>
      <c r="H54" s="2" t="str">
        <f>INDEX('[1]Team &amp; Players'!$E$2:$E$7,MATCH(C54,'[1]Team &amp; Players'!$A$2:$A$7,0))</f>
        <v>Sujal</v>
      </c>
      <c r="I54" s="2" t="str">
        <f>INDEX('[1]Team &amp; Players'!$E$2:$E$7,MATCH(D54,'[1]Team &amp; Players'!$A$2:$A$7,0))</f>
        <v>Pavan D</v>
      </c>
      <c r="J54" s="2"/>
      <c r="K54" s="2"/>
      <c r="L54" s="2" t="str">
        <f t="shared" si="0"/>
        <v/>
      </c>
    </row>
    <row r="55" spans="1:12" ht="16" x14ac:dyDescent="0.2">
      <c r="A55" s="2" t="s">
        <v>34</v>
      </c>
      <c r="B55" s="2" t="s">
        <v>22</v>
      </c>
      <c r="C55" s="2" t="s">
        <v>23</v>
      </c>
      <c r="D55" s="2" t="s">
        <v>28</v>
      </c>
      <c r="E55" s="2"/>
      <c r="F55" s="2" t="s">
        <v>36</v>
      </c>
      <c r="G55" s="2" t="s">
        <v>19</v>
      </c>
      <c r="H55" s="2" t="str">
        <f>INDEX('[1]Team &amp; Players'!$F$2:$F$7,MATCH(C55,'[1]Team &amp; Players'!$A$2:$A$7,0))</f>
        <v>Niraj Salot</v>
      </c>
      <c r="I55" s="2" t="str">
        <f>INDEX('[1]Team &amp; Players'!$F$2:$F$7,MATCH(D55,'[1]Team &amp; Players'!$A$2:$A$7,0))</f>
        <v>Vidwan</v>
      </c>
      <c r="J55" s="2"/>
      <c r="K55" s="2"/>
      <c r="L55" s="2" t="str">
        <f t="shared" si="0"/>
        <v/>
      </c>
    </row>
    <row r="56" spans="1:12" ht="16" x14ac:dyDescent="0.2">
      <c r="A56" s="2" t="s">
        <v>34</v>
      </c>
      <c r="B56" s="2" t="s">
        <v>22</v>
      </c>
      <c r="C56" s="2" t="s">
        <v>23</v>
      </c>
      <c r="D56" s="2" t="s">
        <v>28</v>
      </c>
      <c r="E56" s="2"/>
      <c r="F56" s="2" t="s">
        <v>36</v>
      </c>
      <c r="G56" s="2" t="s">
        <v>20</v>
      </c>
      <c r="H56" s="2" t="str">
        <f>INDEX('[1]Team &amp; Players'!$G$2:$G$7,MATCH(C56,'[1]Team &amp; Players'!$A$2:$A$7,0))&amp;" + "&amp;INDEX('[1]Team &amp; Players'!$H$2:$H$7,MATCH(C56,'[1]Team &amp; Players'!$A$2:$A$7,0))</f>
        <v>Kunal D + Anirudha H</v>
      </c>
      <c r="I56" s="2" t="str">
        <f>INDEX('[1]Team &amp; Players'!$G$2:$G$7,MATCH(D56,'[1]Team &amp; Players'!$A$2:$A$7,0))&amp;" + "&amp;INDEX('[1]Team &amp; Players'!$H$2:$H$7,MATCH(D56,'[1]Team &amp; Players'!$A$2:$A$7,0))</f>
        <v>Shravanth + Vrishin</v>
      </c>
      <c r="J56" s="2"/>
      <c r="K56" s="2"/>
      <c r="L56" s="2" t="str">
        <f t="shared" si="0"/>
        <v/>
      </c>
    </row>
    <row r="57" spans="1:12" ht="16" x14ac:dyDescent="0.2">
      <c r="A57" s="2" t="s">
        <v>34</v>
      </c>
      <c r="B57" s="2" t="s">
        <v>22</v>
      </c>
      <c r="C57" s="2" t="s">
        <v>23</v>
      </c>
      <c r="D57" s="2" t="s">
        <v>28</v>
      </c>
      <c r="E57" s="2"/>
      <c r="F57" s="2" t="s">
        <v>36</v>
      </c>
      <c r="G57" s="2" t="s">
        <v>21</v>
      </c>
      <c r="H57" s="2" t="str">
        <f>INDEX('[1]Team &amp; Players'!$I$2:$I$7,MATCH(C57,'[1]Team &amp; Players'!$A$2:$A$7,0))&amp;" + "&amp;INDEX('[1]Team &amp; Players'!$J$2:$J$7,MATCH(C57,'[1]Team &amp; Players'!$A$2:$A$7,0))</f>
        <v>Sarvesh H + Deviprasad</v>
      </c>
      <c r="I57" s="2" t="str">
        <f>INDEX('[1]Team &amp; Players'!$I$2:$I$7,MATCH(D57,'[1]Team &amp; Players'!$A$2:$A$7,0))&amp;" + "&amp;INDEX('[1]Team &amp; Players'!$J$2:$J$7,MATCH(D57,'[1]Team &amp; Players'!$A$2:$A$7,0))</f>
        <v>Rohith + Darshan H</v>
      </c>
      <c r="J57" s="2"/>
      <c r="K57" s="2"/>
      <c r="L57" s="2" t="str">
        <f t="shared" si="0"/>
        <v/>
      </c>
    </row>
    <row r="58" spans="1:12" ht="16" x14ac:dyDescent="0.2">
      <c r="A58" s="2" t="s">
        <v>37</v>
      </c>
      <c r="B58" s="2" t="s">
        <v>11</v>
      </c>
      <c r="C58" s="2" t="s">
        <v>13</v>
      </c>
      <c r="D58" s="2" t="s">
        <v>24</v>
      </c>
      <c r="E58" s="2"/>
      <c r="F58" s="2" t="s">
        <v>38</v>
      </c>
      <c r="G58" s="2" t="s">
        <v>15</v>
      </c>
      <c r="H58" s="2" t="str">
        <f>INDEX('[1]Team &amp; Players'!$C$2:$C$7,MATCH(C58,'[1]Team &amp; Players'!$A$2:$A$7,0))</f>
        <v>Vaishnavi M</v>
      </c>
      <c r="I58" s="2" t="str">
        <f>INDEX('[1]Team &amp; Players'!$C$2:$C$7,MATCH(D58,'[1]Team &amp; Players'!$A$2:$A$7,0))</f>
        <v>Neha P Jain</v>
      </c>
      <c r="J58" s="2"/>
      <c r="K58" s="2"/>
      <c r="L58" s="2" t="str">
        <f t="shared" si="0"/>
        <v/>
      </c>
    </row>
    <row r="59" spans="1:12" ht="16" x14ac:dyDescent="0.2">
      <c r="A59" s="2" t="s">
        <v>37</v>
      </c>
      <c r="B59" s="2" t="s">
        <v>11</v>
      </c>
      <c r="C59" s="2" t="s">
        <v>13</v>
      </c>
      <c r="D59" s="2" t="s">
        <v>24</v>
      </c>
      <c r="E59" s="2"/>
      <c r="F59" s="2" t="s">
        <v>38</v>
      </c>
      <c r="G59" s="2" t="s">
        <v>16</v>
      </c>
      <c r="H59" s="2" t="str">
        <f>INDEX('[1]Team &amp; Players'!$C$2:$C$7,MATCH(C59,'[1]Team &amp; Players'!$A$2:$A$7,0))&amp;" + "&amp;INDEX('[1]Team &amp; Players'!$D$2:$D$7,MATCH(C59,'[1]Team &amp; Players'!$A$2:$A$7,0))</f>
        <v>Vaishnavi M + Keerthana</v>
      </c>
      <c r="I59" s="2" t="str">
        <f>INDEX('[1]Team &amp; Players'!$C$2:$C$7,MATCH(D59,'[1]Team &amp; Players'!$A$2:$A$7,0))&amp;" + "&amp;INDEX('[1]Team &amp; Players'!$D$2:$D$7,MATCH(D59,'[1]Team &amp; Players'!$A$2:$A$7,0))</f>
        <v>Neha P Jain + Drishti</v>
      </c>
      <c r="J59" s="2"/>
      <c r="K59" s="2"/>
      <c r="L59" s="2" t="str">
        <f t="shared" si="0"/>
        <v/>
      </c>
    </row>
    <row r="60" spans="1:12" ht="16" x14ac:dyDescent="0.2">
      <c r="A60" s="2" t="s">
        <v>37</v>
      </c>
      <c r="B60" s="2" t="s">
        <v>11</v>
      </c>
      <c r="C60" s="2" t="s">
        <v>13</v>
      </c>
      <c r="D60" s="2" t="s">
        <v>24</v>
      </c>
      <c r="E60" s="2"/>
      <c r="F60" s="2" t="s">
        <v>38</v>
      </c>
      <c r="G60" s="2" t="s">
        <v>17</v>
      </c>
      <c r="H60" s="2" t="str">
        <f>INDEX('[1]Team &amp; Players'!$D$2:$D$7,MATCH(C60,'[1]Team &amp; Players'!$A$2:$A$7,0))&amp;" + "&amp;INDEX('[1]Team &amp; Players'!$K$2:$K$7,MATCH(C60,'[1]Team &amp; Players'!$A$2:$A$7,0))</f>
        <v>Keerthana + Abhiram</v>
      </c>
      <c r="I60" s="2" t="str">
        <f>INDEX('[1]Team &amp; Players'!$D$2:$D$7,MATCH(D60,'[1]Team &amp; Players'!$A$2:$A$7,0))&amp;" + "&amp;INDEX('[1]Team &amp; Players'!$K$2:$K$7,MATCH(D60,'[1]Team &amp; Players'!$A$2:$A$7,0))</f>
        <v>Drishti + Sanath</v>
      </c>
      <c r="J60" s="2"/>
      <c r="K60" s="2"/>
      <c r="L60" s="2" t="str">
        <f t="shared" si="0"/>
        <v/>
      </c>
    </row>
    <row r="61" spans="1:12" ht="16" x14ac:dyDescent="0.2">
      <c r="A61" s="2" t="s">
        <v>37</v>
      </c>
      <c r="B61" s="2" t="s">
        <v>11</v>
      </c>
      <c r="C61" s="2" t="s">
        <v>13</v>
      </c>
      <c r="D61" s="2" t="s">
        <v>24</v>
      </c>
      <c r="E61" s="2"/>
      <c r="F61" s="2" t="s">
        <v>38</v>
      </c>
      <c r="G61" s="2" t="s">
        <v>18</v>
      </c>
      <c r="H61" s="2" t="str">
        <f>INDEX('[1]Team &amp; Players'!$E$2:$E$7,MATCH(C61,'[1]Team &amp; Players'!$A$2:$A$7,0))</f>
        <v>Dhruv C</v>
      </c>
      <c r="I61" s="2" t="str">
        <f>INDEX('[1]Team &amp; Players'!$E$2:$E$7,MATCH(D61,'[1]Team &amp; Players'!$A$2:$A$7,0))</f>
        <v>Anshul</v>
      </c>
      <c r="J61" s="2"/>
      <c r="K61" s="2"/>
      <c r="L61" s="2" t="str">
        <f t="shared" si="0"/>
        <v/>
      </c>
    </row>
    <row r="62" spans="1:12" ht="16" x14ac:dyDescent="0.2">
      <c r="A62" s="2" t="s">
        <v>37</v>
      </c>
      <c r="B62" s="2" t="s">
        <v>11</v>
      </c>
      <c r="C62" s="2" t="s">
        <v>13</v>
      </c>
      <c r="D62" s="2" t="s">
        <v>24</v>
      </c>
      <c r="E62" s="2"/>
      <c r="F62" s="2" t="s">
        <v>38</v>
      </c>
      <c r="G62" s="2" t="s">
        <v>19</v>
      </c>
      <c r="H62" s="2" t="str">
        <f>INDEX('[1]Team &amp; Players'!$F$2:$F$7,MATCH(C62,'[1]Team &amp; Players'!$A$2:$A$7,0))</f>
        <v>Avaneesh</v>
      </c>
      <c r="I62" s="2" t="str">
        <f>INDEX('[1]Team &amp; Players'!$F$2:$F$7,MATCH(D62,'[1]Team &amp; Players'!$A$2:$A$7,0))</f>
        <v>Navtej</v>
      </c>
      <c r="J62" s="2"/>
      <c r="K62" s="2"/>
      <c r="L62" s="2" t="str">
        <f t="shared" si="0"/>
        <v/>
      </c>
    </row>
    <row r="63" spans="1:12" ht="32" x14ac:dyDescent="0.2">
      <c r="A63" s="2" t="s">
        <v>37</v>
      </c>
      <c r="B63" s="2" t="s">
        <v>11</v>
      </c>
      <c r="C63" s="2" t="s">
        <v>13</v>
      </c>
      <c r="D63" s="2" t="s">
        <v>24</v>
      </c>
      <c r="E63" s="2"/>
      <c r="F63" s="2" t="s">
        <v>38</v>
      </c>
      <c r="G63" s="2" t="s">
        <v>20</v>
      </c>
      <c r="H63" s="2" t="str">
        <f>INDEX('[1]Team &amp; Players'!$G$2:$G$7,MATCH(C63,'[1]Team &amp; Players'!$A$2:$A$7,0))&amp;" + "&amp;INDEX('[1]Team &amp; Players'!$H$2:$H$7,MATCH(C63,'[1]Team &amp; Players'!$A$2:$A$7,0))</f>
        <v>Kushal  + Shubham</v>
      </c>
      <c r="I63" s="2" t="str">
        <f>INDEX('[1]Team &amp; Players'!$G$2:$G$7,MATCH(D63,'[1]Team &amp; Players'!$A$2:$A$7,0))&amp;" + "&amp;INDEX('[1]Team &amp; Players'!$H$2:$H$7,MATCH(D63,'[1]Team &amp; Players'!$A$2:$A$7,0))</f>
        <v>Nagarajan  + Chandrashaker Joshi</v>
      </c>
      <c r="J63" s="2"/>
      <c r="K63" s="2"/>
      <c r="L63" s="2" t="str">
        <f t="shared" si="0"/>
        <v/>
      </c>
    </row>
    <row r="64" spans="1:12" ht="16" x14ac:dyDescent="0.2">
      <c r="A64" s="2" t="s">
        <v>37</v>
      </c>
      <c r="B64" s="2" t="s">
        <v>11</v>
      </c>
      <c r="C64" s="2" t="s">
        <v>13</v>
      </c>
      <c r="D64" s="2" t="s">
        <v>24</v>
      </c>
      <c r="E64" s="2"/>
      <c r="F64" s="2" t="s">
        <v>38</v>
      </c>
      <c r="G64" s="2" t="s">
        <v>21</v>
      </c>
      <c r="H64" s="2" t="str">
        <f>INDEX('[1]Team &amp; Players'!$I$2:$I$7,MATCH(C64,'[1]Team &amp; Players'!$A$2:$A$7,0))&amp;" + "&amp;INDEX('[1]Team &amp; Players'!$J$2:$J$7,MATCH(C64,'[1]Team &amp; Players'!$A$2:$A$7,0))</f>
        <v>Yuvraj + Karthik KB</v>
      </c>
      <c r="I64" s="2" t="str">
        <f>INDEX('[1]Team &amp; Players'!$I$2:$I$7,MATCH(D64,'[1]Team &amp; Players'!$A$2:$A$7,0))&amp;" + "&amp;INDEX('[1]Team &amp; Players'!$J$2:$J$7,MATCH(D64,'[1]Team &amp; Players'!$A$2:$A$7,0))</f>
        <v>Rohan + Bhuvanesh</v>
      </c>
      <c r="J64" s="2"/>
      <c r="K64" s="2"/>
      <c r="L64" s="2" t="str">
        <f t="shared" si="0"/>
        <v/>
      </c>
    </row>
    <row r="65" spans="1:12" ht="16" x14ac:dyDescent="0.2">
      <c r="A65" s="2" t="s">
        <v>37</v>
      </c>
      <c r="B65" s="2" t="s">
        <v>22</v>
      </c>
      <c r="C65" s="2" t="s">
        <v>12</v>
      </c>
      <c r="D65" s="2" t="s">
        <v>28</v>
      </c>
      <c r="E65" s="2"/>
      <c r="F65" s="2" t="s">
        <v>39</v>
      </c>
      <c r="G65" s="2" t="s">
        <v>15</v>
      </c>
      <c r="H65" s="2" t="str">
        <f>INDEX('[1]Team &amp; Players'!$C$2:$C$7,MATCH(C65,'[1]Team &amp; Players'!$A$2:$A$7,0))</f>
        <v>Amrutha</v>
      </c>
      <c r="I65" s="2" t="str">
        <f>INDEX('[1]Team &amp; Players'!$C$2:$C$7,MATCH(D65,'[1]Team &amp; Players'!$A$2:$A$7,0))</f>
        <v>Riya</v>
      </c>
      <c r="J65" s="2"/>
      <c r="K65" s="2"/>
      <c r="L65" s="2" t="str">
        <f t="shared" si="0"/>
        <v/>
      </c>
    </row>
    <row r="66" spans="1:12" ht="16" x14ac:dyDescent="0.2">
      <c r="A66" s="2" t="s">
        <v>37</v>
      </c>
      <c r="B66" s="2" t="s">
        <v>22</v>
      </c>
      <c r="C66" s="2" t="s">
        <v>12</v>
      </c>
      <c r="D66" s="2" t="s">
        <v>28</v>
      </c>
      <c r="E66" s="2"/>
      <c r="F66" s="2" t="s">
        <v>39</v>
      </c>
      <c r="G66" s="2" t="s">
        <v>16</v>
      </c>
      <c r="H66" s="2" t="str">
        <f>INDEX('[1]Team &amp; Players'!$C$2:$C$7,MATCH(C66,'[1]Team &amp; Players'!$A$2:$A$7,0))&amp;" + "&amp;INDEX('[1]Team &amp; Players'!$D$2:$D$7,MATCH(C66,'[1]Team &amp; Players'!$A$2:$A$7,0))</f>
        <v>Amrutha + Neha</v>
      </c>
      <c r="I66" s="2" t="str">
        <f>INDEX('[1]Team &amp; Players'!$C$2:$C$7,MATCH(D66,'[1]Team &amp; Players'!$A$2:$A$7,0))&amp;" + "&amp;INDEX('[1]Team &amp; Players'!$D$2:$D$7,MATCH(D66,'[1]Team &amp; Players'!$A$2:$A$7,0))</f>
        <v>Riya + Yukti</v>
      </c>
      <c r="J66" s="2"/>
      <c r="K66" s="2"/>
      <c r="L66" s="2" t="str">
        <f t="shared" si="0"/>
        <v/>
      </c>
    </row>
    <row r="67" spans="1:12" ht="16" x14ac:dyDescent="0.2">
      <c r="A67" s="2" t="s">
        <v>37</v>
      </c>
      <c r="B67" s="2" t="s">
        <v>22</v>
      </c>
      <c r="C67" s="2" t="s">
        <v>12</v>
      </c>
      <c r="D67" s="2" t="s">
        <v>28</v>
      </c>
      <c r="E67" s="2"/>
      <c r="F67" s="2" t="s">
        <v>39</v>
      </c>
      <c r="G67" s="2" t="s">
        <v>17</v>
      </c>
      <c r="H67" s="2" t="str">
        <f>INDEX('[1]Team &amp; Players'!$D$2:$D$7,MATCH(C67,'[1]Team &amp; Players'!$A$2:$A$7,0))&amp;" + "&amp;INDEX('[1]Team &amp; Players'!$K$2:$K$7,MATCH(C67,'[1]Team &amp; Players'!$A$2:$A$7,0))</f>
        <v>Neha + Dhruv Jaju</v>
      </c>
      <c r="I67" s="2" t="str">
        <f>INDEX('[1]Team &amp; Players'!$D$2:$D$7,MATCH(D67,'[1]Team &amp; Players'!$A$2:$A$7,0))&amp;" + "&amp;INDEX('[1]Team &amp; Players'!$K$2:$K$7,MATCH(D67,'[1]Team &amp; Players'!$A$2:$A$7,0))</f>
        <v>Yukti + Niranjan</v>
      </c>
      <c r="J67" s="2"/>
      <c r="K67" s="2"/>
      <c r="L67" s="2" t="str">
        <f t="shared" ref="L67:L106" si="1">IF(J67="","",IF(J67=H67,C67,D67))</f>
        <v/>
      </c>
    </row>
    <row r="68" spans="1:12" ht="16" x14ac:dyDescent="0.2">
      <c r="A68" s="2" t="s">
        <v>37</v>
      </c>
      <c r="B68" s="2" t="s">
        <v>22</v>
      </c>
      <c r="C68" s="2" t="s">
        <v>12</v>
      </c>
      <c r="D68" s="2" t="s">
        <v>28</v>
      </c>
      <c r="E68" s="2"/>
      <c r="F68" s="2" t="s">
        <v>39</v>
      </c>
      <c r="G68" s="2" t="s">
        <v>18</v>
      </c>
      <c r="H68" s="2" t="str">
        <f>INDEX('[1]Team &amp; Players'!$E$2:$E$7,MATCH(C68,'[1]Team &amp; Players'!$A$2:$A$7,0))</f>
        <v>Saurabh</v>
      </c>
      <c r="I68" s="2" t="str">
        <f>INDEX('[1]Team &amp; Players'!$E$2:$E$7,MATCH(D68,'[1]Team &amp; Players'!$A$2:$A$7,0))</f>
        <v>Pavan D</v>
      </c>
      <c r="J68" s="2"/>
      <c r="K68" s="2"/>
      <c r="L68" s="2" t="str">
        <f t="shared" si="1"/>
        <v/>
      </c>
    </row>
    <row r="69" spans="1:12" ht="16" x14ac:dyDescent="0.2">
      <c r="A69" s="2" t="s">
        <v>37</v>
      </c>
      <c r="B69" s="2" t="s">
        <v>22</v>
      </c>
      <c r="C69" s="2" t="s">
        <v>12</v>
      </c>
      <c r="D69" s="2" t="s">
        <v>28</v>
      </c>
      <c r="E69" s="2"/>
      <c r="F69" s="2" t="s">
        <v>39</v>
      </c>
      <c r="G69" s="2" t="s">
        <v>19</v>
      </c>
      <c r="H69" s="2" t="str">
        <f>INDEX('[1]Team &amp; Players'!$F$2:$F$7,MATCH(C69,'[1]Team &amp; Players'!$A$2:$A$7,0))</f>
        <v>Aman Doshi</v>
      </c>
      <c r="I69" s="2" t="str">
        <f>INDEX('[1]Team &amp; Players'!$F$2:$F$7,MATCH(D69,'[1]Team &amp; Players'!$A$2:$A$7,0))</f>
        <v>Vidwan</v>
      </c>
      <c r="J69" s="2"/>
      <c r="K69" s="2"/>
      <c r="L69" s="2" t="str">
        <f t="shared" si="1"/>
        <v/>
      </c>
    </row>
    <row r="70" spans="1:12" ht="16" x14ac:dyDescent="0.2">
      <c r="A70" s="2" t="s">
        <v>37</v>
      </c>
      <c r="B70" s="2" t="s">
        <v>22</v>
      </c>
      <c r="C70" s="2" t="s">
        <v>12</v>
      </c>
      <c r="D70" s="2" t="s">
        <v>28</v>
      </c>
      <c r="E70" s="2"/>
      <c r="F70" s="2" t="s">
        <v>39</v>
      </c>
      <c r="G70" s="2" t="s">
        <v>20</v>
      </c>
      <c r="H70" s="2" t="str">
        <f>INDEX('[1]Team &amp; Players'!$G$2:$G$7,MATCH(C70,'[1]Team &amp; Players'!$A$2:$A$7,0))&amp;" + "&amp;INDEX('[1]Team &amp; Players'!$H$2:$H$7,MATCH(C70,'[1]Team &amp; Players'!$A$2:$A$7,0))</f>
        <v>Nikhil M + Jinendar</v>
      </c>
      <c r="I70" s="2" t="str">
        <f>INDEX('[1]Team &amp; Players'!$G$2:$G$7,MATCH(D70,'[1]Team &amp; Players'!$A$2:$A$7,0))&amp;" + "&amp;INDEX('[1]Team &amp; Players'!$H$2:$H$7,MATCH(D70,'[1]Team &amp; Players'!$A$2:$A$7,0))</f>
        <v>Shravanth + Vrishin</v>
      </c>
      <c r="J70" s="2"/>
      <c r="K70" s="2"/>
      <c r="L70" s="2" t="str">
        <f t="shared" si="1"/>
        <v/>
      </c>
    </row>
    <row r="71" spans="1:12" ht="16" x14ac:dyDescent="0.2">
      <c r="A71" s="2" t="s">
        <v>37</v>
      </c>
      <c r="B71" s="2" t="s">
        <v>22</v>
      </c>
      <c r="C71" s="2" t="s">
        <v>12</v>
      </c>
      <c r="D71" s="2" t="s">
        <v>28</v>
      </c>
      <c r="E71" s="2"/>
      <c r="F71" s="2" t="s">
        <v>39</v>
      </c>
      <c r="G71" s="2" t="s">
        <v>21</v>
      </c>
      <c r="H71" s="2" t="str">
        <f>INDEX('[1]Team &amp; Players'!$I$2:$I$7,MATCH(C71,'[1]Team &amp; Players'!$A$2:$A$7,0))&amp;" + "&amp;INDEX('[1]Team &amp; Players'!$J$2:$J$7,MATCH(C71,'[1]Team &amp; Players'!$A$2:$A$7,0))</f>
        <v>Sreesha + Manan</v>
      </c>
      <c r="I71" s="2" t="str">
        <f>INDEX('[1]Team &amp; Players'!$I$2:$I$7,MATCH(D71,'[1]Team &amp; Players'!$A$2:$A$7,0))&amp;" + "&amp;INDEX('[1]Team &amp; Players'!$J$2:$J$7,MATCH(D71,'[1]Team &amp; Players'!$A$2:$A$7,0))</f>
        <v>Rohith + Darshan H</v>
      </c>
      <c r="J71" s="2"/>
      <c r="K71" s="2"/>
      <c r="L71" s="2" t="str">
        <f t="shared" si="1"/>
        <v/>
      </c>
    </row>
    <row r="72" spans="1:12" ht="16" x14ac:dyDescent="0.2">
      <c r="A72" s="2" t="s">
        <v>40</v>
      </c>
      <c r="B72" s="2" t="s">
        <v>11</v>
      </c>
      <c r="C72" s="2" t="s">
        <v>13</v>
      </c>
      <c r="D72" s="2" t="s">
        <v>23</v>
      </c>
      <c r="E72" s="2"/>
      <c r="F72" s="2" t="s">
        <v>41</v>
      </c>
      <c r="G72" s="2" t="s">
        <v>15</v>
      </c>
      <c r="H72" s="2" t="str">
        <f>INDEX('[1]Team &amp; Players'!$C$2:$C$7,MATCH(C72,'[1]Team &amp; Players'!$A$2:$A$7,0))</f>
        <v>Vaishnavi M</v>
      </c>
      <c r="I72" s="2" t="str">
        <f>INDEX('[1]Team &amp; Players'!$C$2:$C$7,MATCH(D72,'[1]Team &amp; Players'!$A$2:$A$7,0))</f>
        <v>Mamta</v>
      </c>
      <c r="J72" s="2"/>
      <c r="K72" s="2"/>
      <c r="L72" s="2" t="str">
        <f t="shared" si="1"/>
        <v/>
      </c>
    </row>
    <row r="73" spans="1:12" ht="16" x14ac:dyDescent="0.2">
      <c r="A73" s="2" t="s">
        <v>40</v>
      </c>
      <c r="B73" s="2" t="s">
        <v>11</v>
      </c>
      <c r="C73" s="2" t="s">
        <v>13</v>
      </c>
      <c r="D73" s="2" t="s">
        <v>23</v>
      </c>
      <c r="E73" s="2"/>
      <c r="F73" s="2" t="s">
        <v>41</v>
      </c>
      <c r="G73" s="2" t="s">
        <v>16</v>
      </c>
      <c r="H73" s="2" t="str">
        <f>INDEX('[1]Team &amp; Players'!$C$2:$C$7,MATCH(C73,'[1]Team &amp; Players'!$A$2:$A$7,0))&amp;" + "&amp;INDEX('[1]Team &amp; Players'!$D$2:$D$7,MATCH(C73,'[1]Team &amp; Players'!$A$2:$A$7,0))</f>
        <v>Vaishnavi M + Keerthana</v>
      </c>
      <c r="I73" s="2" t="str">
        <f>INDEX('[1]Team &amp; Players'!$C$2:$C$7,MATCH(D73,'[1]Team &amp; Players'!$A$2:$A$7,0))&amp;" + "&amp;INDEX('[1]Team &amp; Players'!$D$2:$D$7,MATCH(D73,'[1]Team &amp; Players'!$A$2:$A$7,0))</f>
        <v>Mamta + Rithu</v>
      </c>
      <c r="J73" s="2"/>
      <c r="K73" s="2"/>
      <c r="L73" s="2" t="str">
        <f t="shared" si="1"/>
        <v/>
      </c>
    </row>
    <row r="74" spans="1:12" ht="16" x14ac:dyDescent="0.2">
      <c r="A74" s="2" t="s">
        <v>40</v>
      </c>
      <c r="B74" s="2" t="s">
        <v>11</v>
      </c>
      <c r="C74" s="2" t="s">
        <v>13</v>
      </c>
      <c r="D74" s="2" t="s">
        <v>23</v>
      </c>
      <c r="E74" s="2"/>
      <c r="F74" s="2" t="s">
        <v>41</v>
      </c>
      <c r="G74" s="2" t="s">
        <v>17</v>
      </c>
      <c r="H74" s="2" t="str">
        <f>INDEX('[1]Team &amp; Players'!$D$2:$D$7,MATCH(C74,'[1]Team &amp; Players'!$A$2:$A$7,0))&amp;" + "&amp;INDEX('[1]Team &amp; Players'!$K$2:$K$7,MATCH(C74,'[1]Team &amp; Players'!$A$2:$A$7,0))</f>
        <v>Keerthana + Abhiram</v>
      </c>
      <c r="I74" s="2" t="str">
        <f>INDEX('[1]Team &amp; Players'!$D$2:$D$7,MATCH(D74,'[1]Team &amp; Players'!$A$2:$A$7,0))&amp;" + "&amp;INDEX('[1]Team &amp; Players'!$K$2:$K$7,MATCH(D74,'[1]Team &amp; Players'!$A$2:$A$7,0))</f>
        <v>Rithu + Darshan Patel</v>
      </c>
      <c r="J74" s="2"/>
      <c r="K74" s="2"/>
      <c r="L74" s="2" t="str">
        <f t="shared" si="1"/>
        <v/>
      </c>
    </row>
    <row r="75" spans="1:12" ht="16" x14ac:dyDescent="0.2">
      <c r="A75" s="2" t="s">
        <v>40</v>
      </c>
      <c r="B75" s="2" t="s">
        <v>11</v>
      </c>
      <c r="C75" s="2" t="s">
        <v>13</v>
      </c>
      <c r="D75" s="2" t="s">
        <v>23</v>
      </c>
      <c r="E75" s="2"/>
      <c r="F75" s="2" t="s">
        <v>41</v>
      </c>
      <c r="G75" s="2" t="s">
        <v>18</v>
      </c>
      <c r="H75" s="2" t="str">
        <f>INDEX('[1]Team &amp; Players'!$E$2:$E$7,MATCH(C75,'[1]Team &amp; Players'!$A$2:$A$7,0))</f>
        <v>Dhruv C</v>
      </c>
      <c r="I75" s="2" t="str">
        <f>INDEX('[1]Team &amp; Players'!$E$2:$E$7,MATCH(D75,'[1]Team &amp; Players'!$A$2:$A$7,0))</f>
        <v>Sujal</v>
      </c>
      <c r="J75" s="2"/>
      <c r="K75" s="2"/>
      <c r="L75" s="2" t="str">
        <f t="shared" si="1"/>
        <v/>
      </c>
    </row>
    <row r="76" spans="1:12" ht="16" x14ac:dyDescent="0.2">
      <c r="A76" s="2" t="s">
        <v>40</v>
      </c>
      <c r="B76" s="2" t="s">
        <v>11</v>
      </c>
      <c r="C76" s="2" t="s">
        <v>13</v>
      </c>
      <c r="D76" s="2" t="s">
        <v>23</v>
      </c>
      <c r="E76" s="2"/>
      <c r="F76" s="2" t="s">
        <v>41</v>
      </c>
      <c r="G76" s="2" t="s">
        <v>19</v>
      </c>
      <c r="H76" s="2" t="str">
        <f>INDEX('[1]Team &amp; Players'!$F$2:$F$7,MATCH(C76,'[1]Team &amp; Players'!$A$2:$A$7,0))</f>
        <v>Avaneesh</v>
      </c>
      <c r="I76" s="2" t="str">
        <f>INDEX('[1]Team &amp; Players'!$F$2:$F$7,MATCH(D76,'[1]Team &amp; Players'!$A$2:$A$7,0))</f>
        <v>Niraj Salot</v>
      </c>
      <c r="J76" s="2"/>
      <c r="K76" s="2"/>
      <c r="L76" s="2" t="str">
        <f t="shared" si="1"/>
        <v/>
      </c>
    </row>
    <row r="77" spans="1:12" ht="16" x14ac:dyDescent="0.2">
      <c r="A77" s="2" t="s">
        <v>40</v>
      </c>
      <c r="B77" s="2" t="s">
        <v>11</v>
      </c>
      <c r="C77" s="2" t="s">
        <v>13</v>
      </c>
      <c r="D77" s="2" t="s">
        <v>23</v>
      </c>
      <c r="E77" s="2"/>
      <c r="F77" s="2" t="s">
        <v>41</v>
      </c>
      <c r="G77" s="2" t="s">
        <v>20</v>
      </c>
      <c r="H77" s="2" t="str">
        <f>INDEX('[1]Team &amp; Players'!$G$2:$G$7,MATCH(C77,'[1]Team &amp; Players'!$A$2:$A$7,0))&amp;" + "&amp;INDEX('[1]Team &amp; Players'!$H$2:$H$7,MATCH(C77,'[1]Team &amp; Players'!$A$2:$A$7,0))</f>
        <v>Kushal  + Shubham</v>
      </c>
      <c r="I77" s="2" t="str">
        <f>INDEX('[1]Team &amp; Players'!$G$2:$G$7,MATCH(D77,'[1]Team &amp; Players'!$A$2:$A$7,0))&amp;" + "&amp;INDEX('[1]Team &amp; Players'!$H$2:$H$7,MATCH(D77,'[1]Team &amp; Players'!$A$2:$A$7,0))</f>
        <v>Kunal D + Anirudha H</v>
      </c>
      <c r="J77" s="2"/>
      <c r="K77" s="2"/>
      <c r="L77" s="2" t="str">
        <f t="shared" si="1"/>
        <v/>
      </c>
    </row>
    <row r="78" spans="1:12" ht="16" x14ac:dyDescent="0.2">
      <c r="A78" s="2" t="s">
        <v>40</v>
      </c>
      <c r="B78" s="2" t="s">
        <v>11</v>
      </c>
      <c r="C78" s="2" t="s">
        <v>13</v>
      </c>
      <c r="D78" s="2" t="s">
        <v>23</v>
      </c>
      <c r="E78" s="2"/>
      <c r="F78" s="2" t="s">
        <v>41</v>
      </c>
      <c r="G78" s="2" t="s">
        <v>21</v>
      </c>
      <c r="H78" s="2" t="str">
        <f>INDEX('[1]Team &amp; Players'!$I$2:$I$7,MATCH(C78,'[1]Team &amp; Players'!$A$2:$A$7,0))&amp;" + "&amp;INDEX('[1]Team &amp; Players'!$J$2:$J$7,MATCH(C78,'[1]Team &amp; Players'!$A$2:$A$7,0))</f>
        <v>Yuvraj + Karthik KB</v>
      </c>
      <c r="I78" s="2" t="str">
        <f>INDEX('[1]Team &amp; Players'!$I$2:$I$7,MATCH(D78,'[1]Team &amp; Players'!$A$2:$A$7,0))&amp;" + "&amp;INDEX('[1]Team &amp; Players'!$J$2:$J$7,MATCH(D78,'[1]Team &amp; Players'!$A$2:$A$7,0))</f>
        <v>Sarvesh H + Deviprasad</v>
      </c>
      <c r="J78" s="2"/>
      <c r="K78" s="2"/>
      <c r="L78" s="2" t="str">
        <f t="shared" si="1"/>
        <v/>
      </c>
    </row>
    <row r="79" spans="1:12" ht="16" x14ac:dyDescent="0.2">
      <c r="A79" s="2" t="s">
        <v>40</v>
      </c>
      <c r="B79" s="2" t="s">
        <v>22</v>
      </c>
      <c r="C79" s="2" t="s">
        <v>27</v>
      </c>
      <c r="D79" s="2" t="s">
        <v>24</v>
      </c>
      <c r="E79" s="2"/>
      <c r="F79" s="2" t="s">
        <v>42</v>
      </c>
      <c r="G79" s="2" t="s">
        <v>15</v>
      </c>
      <c r="H79" s="2" t="str">
        <f>INDEX('[1]Team &amp; Players'!$C$2:$C$7,MATCH(C79,'[1]Team &amp; Players'!$A$2:$A$7,0))</f>
        <v>Subashree</v>
      </c>
      <c r="I79" s="2" t="str">
        <f>INDEX('[1]Team &amp; Players'!$C$2:$C$7,MATCH(D79,'[1]Team &amp; Players'!$A$2:$A$7,0))</f>
        <v>Neha P Jain</v>
      </c>
      <c r="J79" s="2"/>
      <c r="K79" s="2"/>
      <c r="L79" s="2" t="str">
        <f t="shared" si="1"/>
        <v/>
      </c>
    </row>
    <row r="80" spans="1:12" ht="16" x14ac:dyDescent="0.2">
      <c r="A80" s="2" t="s">
        <v>40</v>
      </c>
      <c r="B80" s="2" t="s">
        <v>22</v>
      </c>
      <c r="C80" s="2" t="s">
        <v>27</v>
      </c>
      <c r="D80" s="2" t="s">
        <v>24</v>
      </c>
      <c r="E80" s="2"/>
      <c r="F80" s="2" t="s">
        <v>42</v>
      </c>
      <c r="G80" s="2" t="s">
        <v>16</v>
      </c>
      <c r="H80" s="2" t="str">
        <f>INDEX('[1]Team &amp; Players'!$C$2:$C$7,MATCH(C80,'[1]Team &amp; Players'!$A$2:$A$7,0))&amp;" + "&amp;INDEX('[1]Team &amp; Players'!$D$2:$D$7,MATCH(C80,'[1]Team &amp; Players'!$A$2:$A$7,0))</f>
        <v>Subashree + Sanjana</v>
      </c>
      <c r="I80" s="2" t="str">
        <f>INDEX('[1]Team &amp; Players'!$C$2:$C$7,MATCH(D80,'[1]Team &amp; Players'!$A$2:$A$7,0))&amp;" + "&amp;INDEX('[1]Team &amp; Players'!$D$2:$D$7,MATCH(D80,'[1]Team &amp; Players'!$A$2:$A$7,0))</f>
        <v>Neha P Jain + Drishti</v>
      </c>
      <c r="J80" s="2"/>
      <c r="K80" s="2"/>
      <c r="L80" s="2" t="str">
        <f t="shared" si="1"/>
        <v/>
      </c>
    </row>
    <row r="81" spans="1:12" ht="16" x14ac:dyDescent="0.2">
      <c r="A81" s="2" t="s">
        <v>40</v>
      </c>
      <c r="B81" s="2" t="s">
        <v>22</v>
      </c>
      <c r="C81" s="2" t="s">
        <v>27</v>
      </c>
      <c r="D81" s="2" t="s">
        <v>24</v>
      </c>
      <c r="E81" s="2"/>
      <c r="F81" s="2" t="s">
        <v>42</v>
      </c>
      <c r="G81" s="2" t="s">
        <v>17</v>
      </c>
      <c r="H81" s="2" t="str">
        <f>INDEX('[1]Team &amp; Players'!$D$2:$D$7,MATCH(C81,'[1]Team &amp; Players'!$A$2:$A$7,0))&amp;" + "&amp;INDEX('[1]Team &amp; Players'!$K$2:$K$7,MATCH(C81,'[1]Team &amp; Players'!$A$2:$A$7,0))</f>
        <v>Sanjana + Bharatha S</v>
      </c>
      <c r="I81" s="2" t="str">
        <f>INDEX('[1]Team &amp; Players'!$D$2:$D$7,MATCH(D81,'[1]Team &amp; Players'!$A$2:$A$7,0))&amp;" + "&amp;INDEX('[1]Team &amp; Players'!$K$2:$K$7,MATCH(D81,'[1]Team &amp; Players'!$A$2:$A$7,0))</f>
        <v>Drishti + Sanath</v>
      </c>
      <c r="J81" s="2"/>
      <c r="K81" s="2"/>
      <c r="L81" s="2" t="str">
        <f t="shared" si="1"/>
        <v/>
      </c>
    </row>
    <row r="82" spans="1:12" ht="16" x14ac:dyDescent="0.2">
      <c r="A82" s="2" t="s">
        <v>40</v>
      </c>
      <c r="B82" s="2" t="s">
        <v>22</v>
      </c>
      <c r="C82" s="2" t="s">
        <v>27</v>
      </c>
      <c r="D82" s="2" t="s">
        <v>24</v>
      </c>
      <c r="E82" s="2"/>
      <c r="F82" s="2" t="s">
        <v>42</v>
      </c>
      <c r="G82" s="2" t="s">
        <v>18</v>
      </c>
      <c r="H82" s="2" t="str">
        <f>INDEX('[1]Team &amp; Players'!$E$2:$E$7,MATCH(C82,'[1]Team &amp; Players'!$A$2:$A$7,0))</f>
        <v>Naman</v>
      </c>
      <c r="I82" s="2" t="str">
        <f>INDEX('[1]Team &amp; Players'!$E$2:$E$7,MATCH(D82,'[1]Team &amp; Players'!$A$2:$A$7,0))</f>
        <v>Anshul</v>
      </c>
      <c r="J82" s="2"/>
      <c r="K82" s="2"/>
      <c r="L82" s="2" t="str">
        <f t="shared" si="1"/>
        <v/>
      </c>
    </row>
    <row r="83" spans="1:12" ht="16" x14ac:dyDescent="0.2">
      <c r="A83" s="2" t="s">
        <v>40</v>
      </c>
      <c r="B83" s="2" t="s">
        <v>22</v>
      </c>
      <c r="C83" s="2" t="s">
        <v>27</v>
      </c>
      <c r="D83" s="2" t="s">
        <v>24</v>
      </c>
      <c r="E83" s="2"/>
      <c r="F83" s="2" t="s">
        <v>42</v>
      </c>
      <c r="G83" s="2" t="s">
        <v>19</v>
      </c>
      <c r="H83" s="2" t="str">
        <f>INDEX('[1]Team &amp; Players'!$F$2:$F$7,MATCH(C83,'[1]Team &amp; Players'!$A$2:$A$7,0))</f>
        <v>Jay B</v>
      </c>
      <c r="I83" s="2" t="str">
        <f>INDEX('[1]Team &amp; Players'!$F$2:$F$7,MATCH(D83,'[1]Team &amp; Players'!$A$2:$A$7,0))</f>
        <v>Navtej</v>
      </c>
      <c r="J83" s="2"/>
      <c r="K83" s="2"/>
      <c r="L83" s="2" t="str">
        <f t="shared" si="1"/>
        <v/>
      </c>
    </row>
    <row r="84" spans="1:12" ht="32" x14ac:dyDescent="0.2">
      <c r="A84" s="2" t="s">
        <v>40</v>
      </c>
      <c r="B84" s="2" t="s">
        <v>22</v>
      </c>
      <c r="C84" s="2" t="s">
        <v>27</v>
      </c>
      <c r="D84" s="2" t="s">
        <v>24</v>
      </c>
      <c r="E84" s="2"/>
      <c r="F84" s="2" t="s">
        <v>42</v>
      </c>
      <c r="G84" s="2" t="s">
        <v>20</v>
      </c>
      <c r="H84" s="2" t="str">
        <f>INDEX('[1]Team &amp; Players'!$G$2:$G$7,MATCH(C84,'[1]Team &amp; Players'!$A$2:$A$7,0))&amp;" + "&amp;INDEX('[1]Team &amp; Players'!$H$2:$H$7,MATCH(C84,'[1]Team &amp; Players'!$A$2:$A$7,0))</f>
        <v>Leela Sagar + Ali Akbar</v>
      </c>
      <c r="I84" s="2" t="str">
        <f>INDEX('[1]Team &amp; Players'!$G$2:$G$7,MATCH(D84,'[1]Team &amp; Players'!$A$2:$A$7,0))&amp;" + "&amp;INDEX('[1]Team &amp; Players'!$H$2:$H$7,MATCH(D84,'[1]Team &amp; Players'!$A$2:$A$7,0))</f>
        <v>Nagarajan  + Chandrashaker Joshi</v>
      </c>
      <c r="J84" s="2"/>
      <c r="K84" s="2"/>
      <c r="L84" s="2" t="str">
        <f t="shared" si="1"/>
        <v/>
      </c>
    </row>
    <row r="85" spans="1:12" ht="16" x14ac:dyDescent="0.2">
      <c r="A85" s="2" t="s">
        <v>40</v>
      </c>
      <c r="B85" s="2" t="s">
        <v>22</v>
      </c>
      <c r="C85" s="2" t="s">
        <v>27</v>
      </c>
      <c r="D85" s="2" t="s">
        <v>24</v>
      </c>
      <c r="E85" s="2"/>
      <c r="F85" s="2" t="s">
        <v>42</v>
      </c>
      <c r="G85" s="2" t="s">
        <v>21</v>
      </c>
      <c r="H85" s="2" t="str">
        <f>INDEX('[1]Team &amp; Players'!$I$2:$I$7,MATCH(C85,'[1]Team &amp; Players'!$A$2:$A$7,0))&amp;" + "&amp;INDEX('[1]Team &amp; Players'!$J$2:$J$7,MATCH(C85,'[1]Team &amp; Players'!$A$2:$A$7,0))</f>
        <v>Khush B + Hemanth</v>
      </c>
      <c r="I85" s="2" t="str">
        <f>INDEX('[1]Team &amp; Players'!$I$2:$I$7,MATCH(D85,'[1]Team &amp; Players'!$A$2:$A$7,0))&amp;" + "&amp;INDEX('[1]Team &amp; Players'!$J$2:$J$7,MATCH(D85,'[1]Team &amp; Players'!$A$2:$A$7,0))</f>
        <v>Rohan + Bhuvanesh</v>
      </c>
      <c r="J85" s="2"/>
      <c r="K85" s="2"/>
      <c r="L85" s="2" t="str">
        <f t="shared" si="1"/>
        <v/>
      </c>
    </row>
    <row r="86" spans="1:12" ht="16" x14ac:dyDescent="0.2">
      <c r="A86" s="2" t="s">
        <v>43</v>
      </c>
      <c r="B86" s="2" t="s">
        <v>11</v>
      </c>
      <c r="C86" s="2" t="s">
        <v>12</v>
      </c>
      <c r="D86" s="2" t="s">
        <v>24</v>
      </c>
      <c r="E86" s="2"/>
      <c r="F86" s="2" t="s">
        <v>44</v>
      </c>
      <c r="G86" s="2" t="s">
        <v>15</v>
      </c>
      <c r="H86" s="2" t="str">
        <f>INDEX('[1]Team &amp; Players'!$C$2:$C$7,MATCH(C86,'[1]Team &amp; Players'!$A$2:$A$7,0))</f>
        <v>Amrutha</v>
      </c>
      <c r="I86" s="2" t="str">
        <f>INDEX('[1]Team &amp; Players'!$C$2:$C$7,MATCH(D86,'[1]Team &amp; Players'!$A$2:$A$7,0))</f>
        <v>Neha P Jain</v>
      </c>
      <c r="J86" s="2"/>
      <c r="K86" s="2"/>
      <c r="L86" s="2" t="str">
        <f t="shared" si="1"/>
        <v/>
      </c>
    </row>
    <row r="87" spans="1:12" ht="16" x14ac:dyDescent="0.2">
      <c r="A87" s="2" t="s">
        <v>43</v>
      </c>
      <c r="B87" s="2" t="s">
        <v>11</v>
      </c>
      <c r="C87" s="2" t="s">
        <v>12</v>
      </c>
      <c r="D87" s="2" t="s">
        <v>24</v>
      </c>
      <c r="E87" s="2"/>
      <c r="F87" s="2" t="s">
        <v>44</v>
      </c>
      <c r="G87" s="2" t="s">
        <v>16</v>
      </c>
      <c r="H87" s="2" t="str">
        <f>INDEX('[1]Team &amp; Players'!$C$2:$C$7,MATCH(C87,'[1]Team &amp; Players'!$A$2:$A$7,0))&amp;" + "&amp;INDEX('[1]Team &amp; Players'!$D$2:$D$7,MATCH(C87,'[1]Team &amp; Players'!$A$2:$A$7,0))</f>
        <v>Amrutha + Neha</v>
      </c>
      <c r="I87" s="2" t="str">
        <f>INDEX('[1]Team &amp; Players'!$C$2:$C$7,MATCH(D87,'[1]Team &amp; Players'!$A$2:$A$7,0))&amp;" + "&amp;INDEX('[1]Team &amp; Players'!$D$2:$D$7,MATCH(D87,'[1]Team &amp; Players'!$A$2:$A$7,0))</f>
        <v>Neha P Jain + Drishti</v>
      </c>
      <c r="J87" s="2"/>
      <c r="K87" s="2"/>
      <c r="L87" s="2" t="str">
        <f t="shared" si="1"/>
        <v/>
      </c>
    </row>
    <row r="88" spans="1:12" ht="16" x14ac:dyDescent="0.2">
      <c r="A88" s="2" t="s">
        <v>43</v>
      </c>
      <c r="B88" s="2" t="s">
        <v>11</v>
      </c>
      <c r="C88" s="2" t="s">
        <v>12</v>
      </c>
      <c r="D88" s="2" t="s">
        <v>24</v>
      </c>
      <c r="E88" s="2"/>
      <c r="F88" s="2" t="s">
        <v>44</v>
      </c>
      <c r="G88" s="2" t="s">
        <v>17</v>
      </c>
      <c r="H88" s="2" t="str">
        <f>INDEX('[1]Team &amp; Players'!$D$2:$D$7,MATCH(C88,'[1]Team &amp; Players'!$A$2:$A$7,0))&amp;" + "&amp;INDEX('[1]Team &amp; Players'!$K$2:$K$7,MATCH(C88,'[1]Team &amp; Players'!$A$2:$A$7,0))</f>
        <v>Neha + Dhruv Jaju</v>
      </c>
      <c r="I88" s="2" t="str">
        <f>INDEX('[1]Team &amp; Players'!$D$2:$D$7,MATCH(D88,'[1]Team &amp; Players'!$A$2:$A$7,0))&amp;" + "&amp;INDEX('[1]Team &amp; Players'!$K$2:$K$7,MATCH(D88,'[1]Team &amp; Players'!$A$2:$A$7,0))</f>
        <v>Drishti + Sanath</v>
      </c>
      <c r="J88" s="2"/>
      <c r="K88" s="2"/>
      <c r="L88" s="2" t="str">
        <f t="shared" si="1"/>
        <v/>
      </c>
    </row>
    <row r="89" spans="1:12" ht="16" x14ac:dyDescent="0.2">
      <c r="A89" s="2" t="s">
        <v>43</v>
      </c>
      <c r="B89" s="2" t="s">
        <v>11</v>
      </c>
      <c r="C89" s="2" t="s">
        <v>12</v>
      </c>
      <c r="D89" s="2" t="s">
        <v>24</v>
      </c>
      <c r="E89" s="2"/>
      <c r="F89" s="2" t="s">
        <v>44</v>
      </c>
      <c r="G89" s="2" t="s">
        <v>18</v>
      </c>
      <c r="H89" s="2" t="str">
        <f>INDEX('[1]Team &amp; Players'!$E$2:$E$7,MATCH(C89,'[1]Team &amp; Players'!$A$2:$A$7,0))</f>
        <v>Saurabh</v>
      </c>
      <c r="I89" s="2" t="str">
        <f>INDEX('[1]Team &amp; Players'!$E$2:$E$7,MATCH(D89,'[1]Team &amp; Players'!$A$2:$A$7,0))</f>
        <v>Anshul</v>
      </c>
      <c r="J89" s="2"/>
      <c r="K89" s="2"/>
      <c r="L89" s="2" t="str">
        <f t="shared" si="1"/>
        <v/>
      </c>
    </row>
    <row r="90" spans="1:12" ht="16" x14ac:dyDescent="0.2">
      <c r="A90" s="2" t="s">
        <v>43</v>
      </c>
      <c r="B90" s="2" t="s">
        <v>11</v>
      </c>
      <c r="C90" s="2" t="s">
        <v>12</v>
      </c>
      <c r="D90" s="2" t="s">
        <v>24</v>
      </c>
      <c r="E90" s="2"/>
      <c r="F90" s="2" t="s">
        <v>44</v>
      </c>
      <c r="G90" s="2" t="s">
        <v>19</v>
      </c>
      <c r="H90" s="2" t="str">
        <f>INDEX('[1]Team &amp; Players'!$F$2:$F$7,MATCH(C90,'[1]Team &amp; Players'!$A$2:$A$7,0))</f>
        <v>Aman Doshi</v>
      </c>
      <c r="I90" s="2" t="str">
        <f>INDEX('[1]Team &amp; Players'!$F$2:$F$7,MATCH(D90,'[1]Team &amp; Players'!$A$2:$A$7,0))</f>
        <v>Navtej</v>
      </c>
      <c r="J90" s="2"/>
      <c r="K90" s="2"/>
      <c r="L90" s="2" t="str">
        <f t="shared" si="1"/>
        <v/>
      </c>
    </row>
    <row r="91" spans="1:12" ht="32" x14ac:dyDescent="0.2">
      <c r="A91" s="2" t="s">
        <v>43</v>
      </c>
      <c r="B91" s="2" t="s">
        <v>11</v>
      </c>
      <c r="C91" s="2" t="s">
        <v>12</v>
      </c>
      <c r="D91" s="2" t="s">
        <v>24</v>
      </c>
      <c r="E91" s="2"/>
      <c r="F91" s="2" t="s">
        <v>44</v>
      </c>
      <c r="G91" s="2" t="s">
        <v>20</v>
      </c>
      <c r="H91" s="2" t="str">
        <f>INDEX('[1]Team &amp; Players'!$G$2:$G$7,MATCH(C91,'[1]Team &amp; Players'!$A$2:$A$7,0))&amp;" + "&amp;INDEX('[1]Team &amp; Players'!$H$2:$H$7,MATCH(C91,'[1]Team &amp; Players'!$A$2:$A$7,0))</f>
        <v>Nikhil M + Jinendar</v>
      </c>
      <c r="I91" s="2" t="str">
        <f>INDEX('[1]Team &amp; Players'!$G$2:$G$7,MATCH(D91,'[1]Team &amp; Players'!$A$2:$A$7,0))&amp;" + "&amp;INDEX('[1]Team &amp; Players'!$H$2:$H$7,MATCH(D91,'[1]Team &amp; Players'!$A$2:$A$7,0))</f>
        <v>Nagarajan  + Chandrashaker Joshi</v>
      </c>
      <c r="J91" s="2"/>
      <c r="K91" s="2"/>
      <c r="L91" s="2" t="str">
        <f t="shared" si="1"/>
        <v/>
      </c>
    </row>
    <row r="92" spans="1:12" ht="16" x14ac:dyDescent="0.2">
      <c r="A92" s="2" t="s">
        <v>43</v>
      </c>
      <c r="B92" s="2" t="s">
        <v>11</v>
      </c>
      <c r="C92" s="2" t="s">
        <v>12</v>
      </c>
      <c r="D92" s="2" t="s">
        <v>24</v>
      </c>
      <c r="E92" s="2"/>
      <c r="F92" s="2" t="s">
        <v>44</v>
      </c>
      <c r="G92" s="2" t="s">
        <v>21</v>
      </c>
      <c r="H92" s="2" t="str">
        <f>INDEX('[1]Team &amp; Players'!$I$2:$I$7,MATCH(C92,'[1]Team &amp; Players'!$A$2:$A$7,0))&amp;" + "&amp;INDEX('[1]Team &amp; Players'!$J$2:$J$7,MATCH(C92,'[1]Team &amp; Players'!$A$2:$A$7,0))</f>
        <v>Sreesha + Manan</v>
      </c>
      <c r="I92" s="2" t="str">
        <f>INDEX('[1]Team &amp; Players'!$I$2:$I$7,MATCH(D92,'[1]Team &amp; Players'!$A$2:$A$7,0))&amp;" + "&amp;INDEX('[1]Team &amp; Players'!$J$2:$J$7,MATCH(D92,'[1]Team &amp; Players'!$A$2:$A$7,0))</f>
        <v>Rohan + Bhuvanesh</v>
      </c>
      <c r="J92" s="2"/>
      <c r="K92" s="2"/>
      <c r="L92" s="2" t="str">
        <f t="shared" si="1"/>
        <v/>
      </c>
    </row>
    <row r="93" spans="1:12" ht="16" x14ac:dyDescent="0.2">
      <c r="A93" s="2" t="s">
        <v>43</v>
      </c>
      <c r="B93" s="2" t="s">
        <v>22</v>
      </c>
      <c r="C93" s="2" t="s">
        <v>13</v>
      </c>
      <c r="D93" s="2" t="s">
        <v>28</v>
      </c>
      <c r="E93" s="2"/>
      <c r="F93" s="2" t="s">
        <v>45</v>
      </c>
      <c r="G93" s="2" t="s">
        <v>15</v>
      </c>
      <c r="H93" s="2" t="str">
        <f>INDEX('[1]Team &amp; Players'!$C$2:$C$7,MATCH(C93,'[1]Team &amp; Players'!$A$2:$A$7,0))</f>
        <v>Vaishnavi M</v>
      </c>
      <c r="I93" s="2" t="str">
        <f>INDEX('[1]Team &amp; Players'!$C$2:$C$7,MATCH(D93,'[1]Team &amp; Players'!$A$2:$A$7,0))</f>
        <v>Riya</v>
      </c>
      <c r="J93" s="2"/>
      <c r="K93" s="2"/>
      <c r="L93" s="2" t="str">
        <f t="shared" si="1"/>
        <v/>
      </c>
    </row>
    <row r="94" spans="1:12" ht="16" x14ac:dyDescent="0.2">
      <c r="A94" s="2" t="s">
        <v>43</v>
      </c>
      <c r="B94" s="2" t="s">
        <v>22</v>
      </c>
      <c r="C94" s="2" t="s">
        <v>13</v>
      </c>
      <c r="D94" s="2" t="s">
        <v>28</v>
      </c>
      <c r="E94" s="2"/>
      <c r="F94" s="2" t="s">
        <v>45</v>
      </c>
      <c r="G94" s="2" t="s">
        <v>16</v>
      </c>
      <c r="H94" s="2" t="str">
        <f>INDEX('[1]Team &amp; Players'!$C$2:$C$7,MATCH(C94,'[1]Team &amp; Players'!$A$2:$A$7,0))&amp;" + "&amp;INDEX('[1]Team &amp; Players'!$D$2:$D$7,MATCH(C94,'[1]Team &amp; Players'!$A$2:$A$7,0))</f>
        <v>Vaishnavi M + Keerthana</v>
      </c>
      <c r="I94" s="2" t="str">
        <f>INDEX('[1]Team &amp; Players'!$C$2:$C$7,MATCH(D94,'[1]Team &amp; Players'!$A$2:$A$7,0))&amp;" + "&amp;INDEX('[1]Team &amp; Players'!$D$2:$D$7,MATCH(D94,'[1]Team &amp; Players'!$A$2:$A$7,0))</f>
        <v>Riya + Yukti</v>
      </c>
      <c r="J94" s="2"/>
      <c r="K94" s="2"/>
      <c r="L94" s="2" t="str">
        <f t="shared" si="1"/>
        <v/>
      </c>
    </row>
    <row r="95" spans="1:12" ht="16" x14ac:dyDescent="0.2">
      <c r="A95" s="2" t="s">
        <v>43</v>
      </c>
      <c r="B95" s="2" t="s">
        <v>22</v>
      </c>
      <c r="C95" s="2" t="s">
        <v>13</v>
      </c>
      <c r="D95" s="2" t="s">
        <v>28</v>
      </c>
      <c r="E95" s="2"/>
      <c r="F95" s="2" t="s">
        <v>45</v>
      </c>
      <c r="G95" s="2" t="s">
        <v>17</v>
      </c>
      <c r="H95" s="2" t="str">
        <f>INDEX('[1]Team &amp; Players'!$D$2:$D$7,MATCH(C95,'[1]Team &amp; Players'!$A$2:$A$7,0))&amp;" + "&amp;INDEX('[1]Team &amp; Players'!$K$2:$K$7,MATCH(C95,'[1]Team &amp; Players'!$A$2:$A$7,0))</f>
        <v>Keerthana + Abhiram</v>
      </c>
      <c r="I95" s="2" t="str">
        <f>INDEX('[1]Team &amp; Players'!$D$2:$D$7,MATCH(D95,'[1]Team &amp; Players'!$A$2:$A$7,0))&amp;" + "&amp;INDEX('[1]Team &amp; Players'!$K$2:$K$7,MATCH(D95,'[1]Team &amp; Players'!$A$2:$A$7,0))</f>
        <v>Yukti + Niranjan</v>
      </c>
      <c r="J95" s="2"/>
      <c r="K95" s="2"/>
      <c r="L95" s="2" t="str">
        <f t="shared" si="1"/>
        <v/>
      </c>
    </row>
    <row r="96" spans="1:12" ht="16" x14ac:dyDescent="0.2">
      <c r="A96" s="2" t="s">
        <v>43</v>
      </c>
      <c r="B96" s="2" t="s">
        <v>22</v>
      </c>
      <c r="C96" s="2" t="s">
        <v>13</v>
      </c>
      <c r="D96" s="2" t="s">
        <v>28</v>
      </c>
      <c r="E96" s="2"/>
      <c r="F96" s="2" t="s">
        <v>45</v>
      </c>
      <c r="G96" s="2" t="s">
        <v>18</v>
      </c>
      <c r="H96" s="2" t="str">
        <f>INDEX('[1]Team &amp; Players'!$E$2:$E$7,MATCH(C96,'[1]Team &amp; Players'!$A$2:$A$7,0))</f>
        <v>Dhruv C</v>
      </c>
      <c r="I96" s="2" t="str">
        <f>INDEX('[1]Team &amp; Players'!$E$2:$E$7,MATCH(D96,'[1]Team &amp; Players'!$A$2:$A$7,0))</f>
        <v>Pavan D</v>
      </c>
      <c r="J96" s="2"/>
      <c r="K96" s="2"/>
      <c r="L96" s="2" t="str">
        <f t="shared" si="1"/>
        <v/>
      </c>
    </row>
    <row r="97" spans="1:12" ht="16" x14ac:dyDescent="0.2">
      <c r="A97" s="2" t="s">
        <v>43</v>
      </c>
      <c r="B97" s="2" t="s">
        <v>22</v>
      </c>
      <c r="C97" s="2" t="s">
        <v>13</v>
      </c>
      <c r="D97" s="2" t="s">
        <v>28</v>
      </c>
      <c r="E97" s="2"/>
      <c r="F97" s="2" t="s">
        <v>45</v>
      </c>
      <c r="G97" s="2" t="s">
        <v>19</v>
      </c>
      <c r="H97" s="2" t="str">
        <f>INDEX('[1]Team &amp; Players'!$F$2:$F$7,MATCH(C97,'[1]Team &amp; Players'!$A$2:$A$7,0))</f>
        <v>Avaneesh</v>
      </c>
      <c r="I97" s="2" t="str">
        <f>INDEX('[1]Team &amp; Players'!$F$2:$F$7,MATCH(D97,'[1]Team &amp; Players'!$A$2:$A$7,0))</f>
        <v>Vidwan</v>
      </c>
      <c r="J97" s="2"/>
      <c r="K97" s="2"/>
      <c r="L97" s="2" t="str">
        <f t="shared" si="1"/>
        <v/>
      </c>
    </row>
    <row r="98" spans="1:12" ht="16" x14ac:dyDescent="0.2">
      <c r="A98" s="2" t="s">
        <v>43</v>
      </c>
      <c r="B98" s="2" t="s">
        <v>22</v>
      </c>
      <c r="C98" s="2" t="s">
        <v>13</v>
      </c>
      <c r="D98" s="2" t="s">
        <v>28</v>
      </c>
      <c r="E98" s="2"/>
      <c r="F98" s="2" t="s">
        <v>45</v>
      </c>
      <c r="G98" s="2" t="s">
        <v>20</v>
      </c>
      <c r="H98" s="2" t="str">
        <f>INDEX('[1]Team &amp; Players'!$G$2:$G$7,MATCH(C98,'[1]Team &amp; Players'!$A$2:$A$7,0))&amp;" + "&amp;INDEX('[1]Team &amp; Players'!$H$2:$H$7,MATCH(C98,'[1]Team &amp; Players'!$A$2:$A$7,0))</f>
        <v>Kushal  + Shubham</v>
      </c>
      <c r="I98" s="2" t="str">
        <f>INDEX('[1]Team &amp; Players'!$G$2:$G$7,MATCH(D98,'[1]Team &amp; Players'!$A$2:$A$7,0))&amp;" + "&amp;INDEX('[1]Team &amp; Players'!$H$2:$H$7,MATCH(D98,'[1]Team &amp; Players'!$A$2:$A$7,0))</f>
        <v>Shravanth + Vrishin</v>
      </c>
      <c r="J98" s="2"/>
      <c r="K98" s="2"/>
      <c r="L98" s="2" t="str">
        <f t="shared" si="1"/>
        <v/>
      </c>
    </row>
    <row r="99" spans="1:12" ht="16" x14ac:dyDescent="0.2">
      <c r="A99" s="2" t="s">
        <v>43</v>
      </c>
      <c r="B99" s="2" t="s">
        <v>22</v>
      </c>
      <c r="C99" s="2" t="s">
        <v>13</v>
      </c>
      <c r="D99" s="2" t="s">
        <v>28</v>
      </c>
      <c r="E99" s="2"/>
      <c r="F99" s="2" t="s">
        <v>45</v>
      </c>
      <c r="G99" s="2" t="s">
        <v>21</v>
      </c>
      <c r="H99" s="2" t="str">
        <f>INDEX('[1]Team &amp; Players'!$I$2:$I$7,MATCH(C99,'[1]Team &amp; Players'!$A$2:$A$7,0))&amp;" + "&amp;INDEX('[1]Team &amp; Players'!$J$2:$J$7,MATCH(C99,'[1]Team &amp; Players'!$A$2:$A$7,0))</f>
        <v>Yuvraj + Karthik KB</v>
      </c>
      <c r="I99" s="2" t="str">
        <f>INDEX('[1]Team &amp; Players'!$I$2:$I$7,MATCH(D99,'[1]Team &amp; Players'!$A$2:$A$7,0))&amp;" + "&amp;INDEX('[1]Team &amp; Players'!$J$2:$J$7,MATCH(D99,'[1]Team &amp; Players'!$A$2:$A$7,0))</f>
        <v>Rohith + Darshan H</v>
      </c>
      <c r="J99" s="2"/>
      <c r="K99" s="2"/>
      <c r="L99" s="2" t="str">
        <f t="shared" si="1"/>
        <v/>
      </c>
    </row>
    <row r="100" spans="1:12" ht="16" x14ac:dyDescent="0.2">
      <c r="A100" s="2" t="s">
        <v>46</v>
      </c>
      <c r="B100" s="2" t="s">
        <v>11</v>
      </c>
      <c r="C100" s="2" t="s">
        <v>23</v>
      </c>
      <c r="D100" s="2" t="s">
        <v>27</v>
      </c>
      <c r="E100" s="2"/>
      <c r="F100" s="2" t="s">
        <v>47</v>
      </c>
      <c r="G100" s="2" t="s">
        <v>15</v>
      </c>
      <c r="H100" s="2" t="str">
        <f>INDEX('[1]Team &amp; Players'!$C$2:$C$7,MATCH(C100,'[1]Team &amp; Players'!$A$2:$A$7,0))</f>
        <v>Mamta</v>
      </c>
      <c r="I100" s="2" t="str">
        <f>INDEX('[1]Team &amp; Players'!$C$2:$C$7,MATCH(D100,'[1]Team &amp; Players'!$A$2:$A$7,0))</f>
        <v>Subashree</v>
      </c>
      <c r="J100" s="2"/>
      <c r="K100" s="2"/>
      <c r="L100" s="2" t="str">
        <f t="shared" si="1"/>
        <v/>
      </c>
    </row>
    <row r="101" spans="1:12" ht="16" x14ac:dyDescent="0.2">
      <c r="A101" s="2" t="s">
        <v>46</v>
      </c>
      <c r="B101" s="2" t="s">
        <v>11</v>
      </c>
      <c r="C101" s="2" t="s">
        <v>23</v>
      </c>
      <c r="D101" s="2" t="s">
        <v>27</v>
      </c>
      <c r="E101" s="2"/>
      <c r="F101" s="2" t="s">
        <v>47</v>
      </c>
      <c r="G101" s="2" t="s">
        <v>16</v>
      </c>
      <c r="H101" s="2" t="str">
        <f>INDEX('[1]Team &amp; Players'!$C$2:$C$7,MATCH(C101,'[1]Team &amp; Players'!$A$2:$A$7,0))&amp;" + "&amp;INDEX('[1]Team &amp; Players'!$D$2:$D$7,MATCH(C101,'[1]Team &amp; Players'!$A$2:$A$7,0))</f>
        <v>Mamta + Rithu</v>
      </c>
      <c r="I101" s="2" t="str">
        <f>INDEX('[1]Team &amp; Players'!$C$2:$C$7,MATCH(D101,'[1]Team &amp; Players'!$A$2:$A$7,0))&amp;" + "&amp;INDEX('[1]Team &amp; Players'!$D$2:$D$7,MATCH(D101,'[1]Team &amp; Players'!$A$2:$A$7,0))</f>
        <v>Subashree + Sanjana</v>
      </c>
      <c r="J101" s="2"/>
      <c r="K101" s="2"/>
      <c r="L101" s="2" t="str">
        <f t="shared" si="1"/>
        <v/>
      </c>
    </row>
    <row r="102" spans="1:12" ht="16" x14ac:dyDescent="0.2">
      <c r="A102" s="2" t="s">
        <v>46</v>
      </c>
      <c r="B102" s="2" t="s">
        <v>11</v>
      </c>
      <c r="C102" s="2" t="s">
        <v>23</v>
      </c>
      <c r="D102" s="2" t="s">
        <v>27</v>
      </c>
      <c r="E102" s="2"/>
      <c r="F102" s="2" t="s">
        <v>47</v>
      </c>
      <c r="G102" s="2" t="s">
        <v>17</v>
      </c>
      <c r="H102" s="2" t="str">
        <f>INDEX('[1]Team &amp; Players'!$D$2:$D$7,MATCH(C102,'[1]Team &amp; Players'!$A$2:$A$7,0))&amp;" + "&amp;INDEX('[1]Team &amp; Players'!$K$2:$K$7,MATCH(C102,'[1]Team &amp; Players'!$A$2:$A$7,0))</f>
        <v>Rithu + Darshan Patel</v>
      </c>
      <c r="I102" s="2" t="str">
        <f>INDEX('[1]Team &amp; Players'!$D$2:$D$7,MATCH(D102,'[1]Team &amp; Players'!$A$2:$A$7,0))&amp;" + "&amp;INDEX('[1]Team &amp; Players'!$K$2:$K$7,MATCH(D102,'[1]Team &amp; Players'!$A$2:$A$7,0))</f>
        <v>Sanjana + Bharatha S</v>
      </c>
      <c r="J102" s="2"/>
      <c r="K102" s="2"/>
      <c r="L102" s="2" t="str">
        <f t="shared" si="1"/>
        <v/>
      </c>
    </row>
    <row r="103" spans="1:12" ht="16" x14ac:dyDescent="0.2">
      <c r="A103" s="2" t="s">
        <v>46</v>
      </c>
      <c r="B103" s="2" t="s">
        <v>11</v>
      </c>
      <c r="C103" s="2" t="s">
        <v>23</v>
      </c>
      <c r="D103" s="2" t="s">
        <v>27</v>
      </c>
      <c r="E103" s="2"/>
      <c r="F103" s="2" t="s">
        <v>47</v>
      </c>
      <c r="G103" s="2" t="s">
        <v>18</v>
      </c>
      <c r="H103" s="2" t="str">
        <f>INDEX('[1]Team &amp; Players'!$E$2:$E$7,MATCH(C103,'[1]Team &amp; Players'!$A$2:$A$7,0))</f>
        <v>Sujal</v>
      </c>
      <c r="I103" s="2" t="str">
        <f>INDEX('[1]Team &amp; Players'!$E$2:$E$7,MATCH(D103,'[1]Team &amp; Players'!$A$2:$A$7,0))</f>
        <v>Naman</v>
      </c>
      <c r="J103" s="2"/>
      <c r="K103" s="2"/>
      <c r="L103" s="2" t="str">
        <f t="shared" si="1"/>
        <v/>
      </c>
    </row>
    <row r="104" spans="1:12" ht="16" x14ac:dyDescent="0.2">
      <c r="A104" s="2" t="s">
        <v>46</v>
      </c>
      <c r="B104" s="2" t="s">
        <v>11</v>
      </c>
      <c r="C104" s="2" t="s">
        <v>23</v>
      </c>
      <c r="D104" s="2" t="s">
        <v>27</v>
      </c>
      <c r="E104" s="2"/>
      <c r="F104" s="2" t="s">
        <v>47</v>
      </c>
      <c r="G104" s="2" t="s">
        <v>19</v>
      </c>
      <c r="H104" s="2" t="str">
        <f>INDEX('[1]Team &amp; Players'!$F$2:$F$7,MATCH(C104,'[1]Team &amp; Players'!$A$2:$A$7,0))</f>
        <v>Niraj Salot</v>
      </c>
      <c r="I104" s="2" t="str">
        <f>INDEX('[1]Team &amp; Players'!$F$2:$F$7,MATCH(D104,'[1]Team &amp; Players'!$A$2:$A$7,0))</f>
        <v>Jay B</v>
      </c>
      <c r="J104" s="2"/>
      <c r="K104" s="2"/>
      <c r="L104" s="2" t="str">
        <f t="shared" si="1"/>
        <v/>
      </c>
    </row>
    <row r="105" spans="1:12" ht="16" x14ac:dyDescent="0.2">
      <c r="A105" s="2" t="s">
        <v>46</v>
      </c>
      <c r="B105" s="2" t="s">
        <v>11</v>
      </c>
      <c r="C105" s="2" t="s">
        <v>23</v>
      </c>
      <c r="D105" s="2" t="s">
        <v>27</v>
      </c>
      <c r="E105" s="2"/>
      <c r="F105" s="2" t="s">
        <v>47</v>
      </c>
      <c r="G105" s="2" t="s">
        <v>20</v>
      </c>
      <c r="H105" s="2" t="str">
        <f>INDEX('[1]Team &amp; Players'!$G$2:$G$7,MATCH(C105,'[1]Team &amp; Players'!$A$2:$A$7,0))&amp;" + "&amp;INDEX('[1]Team &amp; Players'!$H$2:$H$7,MATCH(C105,'[1]Team &amp; Players'!$A$2:$A$7,0))</f>
        <v>Kunal D + Anirudha H</v>
      </c>
      <c r="I105" s="2" t="str">
        <f>INDEX('[1]Team &amp; Players'!$G$2:$G$7,MATCH(D105,'[1]Team &amp; Players'!$A$2:$A$7,0))&amp;" + "&amp;INDEX('[1]Team &amp; Players'!$H$2:$H$7,MATCH(D105,'[1]Team &amp; Players'!$A$2:$A$7,0))</f>
        <v>Leela Sagar + Ali Akbar</v>
      </c>
      <c r="J105" s="2"/>
      <c r="K105" s="2"/>
      <c r="L105" s="2" t="str">
        <f t="shared" si="1"/>
        <v/>
      </c>
    </row>
    <row r="106" spans="1:12" ht="16" x14ac:dyDescent="0.2">
      <c r="A106" s="2" t="s">
        <v>46</v>
      </c>
      <c r="B106" s="2" t="s">
        <v>11</v>
      </c>
      <c r="C106" s="2" t="s">
        <v>23</v>
      </c>
      <c r="D106" s="2" t="s">
        <v>27</v>
      </c>
      <c r="E106" s="2"/>
      <c r="F106" s="2" t="s">
        <v>47</v>
      </c>
      <c r="G106" s="2" t="s">
        <v>21</v>
      </c>
      <c r="H106" s="2" t="str">
        <f>INDEX('[1]Team &amp; Players'!$I$2:$I$7,MATCH(C106,'[1]Team &amp; Players'!$A$2:$A$7,0))&amp;" + "&amp;INDEX('[1]Team &amp; Players'!$J$2:$J$7,MATCH(C106,'[1]Team &amp; Players'!$A$2:$A$7,0))</f>
        <v>Sarvesh H + Deviprasad</v>
      </c>
      <c r="I106" s="2" t="str">
        <f>INDEX('[1]Team &amp; Players'!$I$2:$I$7,MATCH(D106,'[1]Team &amp; Players'!$A$2:$A$7,0))&amp;" + "&amp;INDEX('[1]Team &amp; Players'!$J$2:$J$7,MATCH(D106,'[1]Team &amp; Players'!$A$2:$A$7,0))</f>
        <v>Khush B + Hemanth</v>
      </c>
      <c r="J106" s="2"/>
      <c r="K106" s="2"/>
      <c r="L106" s="2" t="str">
        <f t="shared" si="1"/>
        <v/>
      </c>
    </row>
    <row r="107" spans="1:12" x14ac:dyDescent="0.2">
      <c r="B107" s="2"/>
    </row>
    <row r="108" spans="1:12" x14ac:dyDescent="0.2">
      <c r="B108" s="2"/>
    </row>
    <row r="109" spans="1:12" x14ac:dyDescent="0.2">
      <c r="B109" s="2"/>
    </row>
    <row r="110" spans="1:12" x14ac:dyDescent="0.2">
      <c r="B110" s="2"/>
    </row>
    <row r="111" spans="1:12" x14ac:dyDescent="0.2">
      <c r="B111" s="2"/>
    </row>
    <row r="112" spans="1:12" x14ac:dyDescent="0.2">
      <c r="B112" s="2"/>
    </row>
    <row r="113" spans="2:2" x14ac:dyDescent="0.2">
      <c r="B113" s="2"/>
    </row>
  </sheetData>
  <conditionalFormatting sqref="J2:K106">
    <cfRule type="expression" dxfId="25" priority="1">
      <formula>J2&lt;&gt;""</formula>
    </cfRule>
  </conditionalFormatting>
  <dataValidations count="1">
    <dataValidation type="list" allowBlank="1" error="Choose Participant 1 or Participant 2." prompt="Select the winning participant/pair." sqref="J2:K106" xr:uid="{1B4BC52E-C3A7-4828-BF12-38AA4F8A8131}">
      <formula1>$H2:$I2</formula1>
    </dataValidation>
  </dataValidations>
  <pageMargins left="0.7" right="0.7" top="0.75" bottom="0.75" header="0.3" footer="0.3"/>
  <pageSetup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637B-F719-49C8-8CD0-A0482E45DECD}">
  <sheetPr filterMode="1">
    <pageSetUpPr fitToPage="1"/>
  </sheetPr>
  <dimension ref="B2:P112"/>
  <sheetViews>
    <sheetView showGridLines="0" topLeftCell="B1" zoomScale="74" zoomScaleNormal="74" workbookViewId="0">
      <pane ySplit="2" topLeftCell="A22" activePane="bottomLeft" state="frozen"/>
      <selection pane="bottomLeft" activeCell="F50" sqref="F50"/>
    </sheetView>
  </sheetViews>
  <sheetFormatPr baseColWidth="10" defaultColWidth="8.6640625" defaultRowHeight="12" x14ac:dyDescent="0.15"/>
  <cols>
    <col min="1" max="1" width="3.5" style="14" customWidth="1"/>
    <col min="2" max="2" width="10.5" style="14" bestFit="1" customWidth="1"/>
    <col min="3" max="3" width="15.6640625" style="14" bestFit="1" customWidth="1"/>
    <col min="4" max="5" width="13.5" style="14" bestFit="1" customWidth="1"/>
    <col min="6" max="6" width="14.33203125" style="14" bestFit="1" customWidth="1"/>
    <col min="7" max="7" width="15.83203125" style="14" bestFit="1" customWidth="1"/>
    <col min="8" max="8" width="21.5" style="14" bestFit="1" customWidth="1"/>
    <col min="9" max="10" width="29.6640625" style="14" bestFit="1" customWidth="1"/>
    <col min="11" max="11" width="25" style="15" bestFit="1" customWidth="1"/>
    <col min="12" max="12" width="19.1640625" style="14" bestFit="1" customWidth="1"/>
    <col min="13" max="13" width="14.1640625" style="14" bestFit="1" customWidth="1"/>
    <col min="14" max="15" width="12.6640625" style="14" bestFit="1" customWidth="1"/>
    <col min="16" max="16" width="15.1640625" style="14" bestFit="1" customWidth="1"/>
    <col min="17" max="16384" width="8.6640625" style="14"/>
  </cols>
  <sheetData>
    <row r="2" spans="2:16" ht="13" x14ac:dyDescent="0.15">
      <c r="B2" s="43" t="s">
        <v>0</v>
      </c>
      <c r="C2" s="43" t="s">
        <v>1</v>
      </c>
      <c r="D2" s="43" t="s">
        <v>2</v>
      </c>
      <c r="E2" s="43" t="s">
        <v>3</v>
      </c>
      <c r="F2" s="43" t="s">
        <v>48</v>
      </c>
      <c r="G2" s="43" t="s">
        <v>4</v>
      </c>
      <c r="H2" s="43" t="s">
        <v>5</v>
      </c>
      <c r="I2" s="43" t="s">
        <v>6</v>
      </c>
      <c r="J2" s="38" t="s">
        <v>7</v>
      </c>
      <c r="K2" s="44" t="s">
        <v>49</v>
      </c>
      <c r="L2" s="38" t="s">
        <v>9</v>
      </c>
      <c r="M2" s="41" t="s">
        <v>48</v>
      </c>
      <c r="N2" s="48" t="s">
        <v>237</v>
      </c>
      <c r="O2" s="48" t="s">
        <v>238</v>
      </c>
      <c r="P2" s="48" t="s">
        <v>239</v>
      </c>
    </row>
    <row r="3" spans="2:16" hidden="1" x14ac:dyDescent="0.15">
      <c r="B3" s="41" t="s">
        <v>10</v>
      </c>
      <c r="C3" s="41" t="s">
        <v>11</v>
      </c>
      <c r="D3" s="41" t="s">
        <v>50</v>
      </c>
      <c r="E3" s="41" t="s">
        <v>51</v>
      </c>
      <c r="F3" s="41" t="s">
        <v>52</v>
      </c>
      <c r="G3" s="41" t="s">
        <v>17</v>
      </c>
      <c r="H3" s="41" t="s">
        <v>53</v>
      </c>
      <c r="I3" s="41" t="s">
        <v>54</v>
      </c>
      <c r="J3" s="40" t="str">
        <f t="shared" ref="J3:J8" si="0">IF(K3="","",IFERROR(IF(--_xlfn.TEXTBEFORE(K3,"-")&gt;--_xlfn.TEXTAFTER(K3,"-"),H3,IF(--_xlfn.TEXTAFTER(K3,"-")&gt;--_xlfn.TEXTBEFORE(K3,"-"),I3,"Tie")),"Check score"))</f>
        <v>Yukti + Niranjan</v>
      </c>
      <c r="K3" s="45" t="s">
        <v>55</v>
      </c>
      <c r="L3" s="40" t="str">
        <f t="shared" ref="L3:L34" si="1">IF(K3="","",IFERROR(IF(--_xlfn.TEXTBEFORE(K3,"-")&gt;--_xlfn.TEXTAFTER(K3,"-"),D3,IF(--_xlfn.TEXTAFTER(K3,"-")&gt;--_xlfn.TEXTBEFORE(K3,"-"),E3,"Tie")),"Check score"))</f>
        <v>Team 5</v>
      </c>
      <c r="M3" s="39"/>
      <c r="N3" s="14">
        <f t="shared" ref="N3:N34" si="2">IFERROR(--_xlfn.TEXTBEFORE(K3,"-"),"")</f>
        <v>21</v>
      </c>
      <c r="O3" s="14">
        <f t="shared" ref="O3:O34" si="3">IFERROR(--_xlfn.TEXTAFTER(K3,"-"),"")</f>
        <v>16</v>
      </c>
      <c r="P3" s="14">
        <f t="shared" ref="P3:P34" si="4">IF(OR(N3="",O3=""),"",N3-O3)</f>
        <v>5</v>
      </c>
    </row>
    <row r="4" spans="2:16" hidden="1" x14ac:dyDescent="0.15">
      <c r="B4" s="41" t="s">
        <v>10</v>
      </c>
      <c r="C4" s="41" t="s">
        <v>11</v>
      </c>
      <c r="D4" s="41" t="s">
        <v>50</v>
      </c>
      <c r="E4" s="41" t="s">
        <v>51</v>
      </c>
      <c r="F4" s="41" t="s">
        <v>52</v>
      </c>
      <c r="G4" s="41" t="s">
        <v>15</v>
      </c>
      <c r="H4" s="41" t="s">
        <v>56</v>
      </c>
      <c r="I4" s="41" t="s">
        <v>57</v>
      </c>
      <c r="J4" s="40" t="str">
        <f t="shared" si="0"/>
        <v>Neha P Jain</v>
      </c>
      <c r="K4" s="45" t="s">
        <v>58</v>
      </c>
      <c r="L4" s="40" t="str">
        <f t="shared" si="1"/>
        <v>Team 6</v>
      </c>
      <c r="M4" s="39"/>
      <c r="N4" s="14">
        <f t="shared" si="2"/>
        <v>7</v>
      </c>
      <c r="O4" s="14">
        <f t="shared" si="3"/>
        <v>21</v>
      </c>
      <c r="P4" s="14">
        <f t="shared" si="4"/>
        <v>-14</v>
      </c>
    </row>
    <row r="5" spans="2:16" hidden="1" x14ac:dyDescent="0.15">
      <c r="B5" s="41" t="s">
        <v>10</v>
      </c>
      <c r="C5" s="41" t="s">
        <v>11</v>
      </c>
      <c r="D5" s="41" t="s">
        <v>2</v>
      </c>
      <c r="E5" s="41" t="s">
        <v>59</v>
      </c>
      <c r="F5" s="41" t="s">
        <v>60</v>
      </c>
      <c r="G5" s="41" t="s">
        <v>15</v>
      </c>
      <c r="H5" s="41" t="s">
        <v>61</v>
      </c>
      <c r="I5" s="41" t="s">
        <v>62</v>
      </c>
      <c r="J5" s="40" t="str">
        <f t="shared" si="0"/>
        <v>Subashree</v>
      </c>
      <c r="K5" s="45" t="s">
        <v>58</v>
      </c>
      <c r="L5" s="40" t="str">
        <f t="shared" si="1"/>
        <v>Team 4</v>
      </c>
      <c r="M5" s="39"/>
      <c r="N5" s="14">
        <f t="shared" si="2"/>
        <v>7</v>
      </c>
      <c r="O5" s="14">
        <f t="shared" si="3"/>
        <v>21</v>
      </c>
      <c r="P5" s="14">
        <f t="shared" si="4"/>
        <v>-14</v>
      </c>
    </row>
    <row r="6" spans="2:16" hidden="1" x14ac:dyDescent="0.15">
      <c r="B6" s="41" t="s">
        <v>10</v>
      </c>
      <c r="C6" s="41" t="s">
        <v>11</v>
      </c>
      <c r="D6" s="41" t="s">
        <v>63</v>
      </c>
      <c r="E6" s="41" t="s">
        <v>59</v>
      </c>
      <c r="F6" s="41" t="s">
        <v>64</v>
      </c>
      <c r="G6" s="41" t="s">
        <v>15</v>
      </c>
      <c r="H6" s="41" t="s">
        <v>65</v>
      </c>
      <c r="I6" s="41" t="s">
        <v>62</v>
      </c>
      <c r="J6" s="40" t="str">
        <f t="shared" si="0"/>
        <v>Mamta</v>
      </c>
      <c r="K6" s="45" t="s">
        <v>66</v>
      </c>
      <c r="L6" s="40" t="str">
        <f t="shared" si="1"/>
        <v>Team 3</v>
      </c>
      <c r="M6" s="39"/>
      <c r="N6" s="14">
        <f t="shared" si="2"/>
        <v>21</v>
      </c>
      <c r="O6" s="14">
        <f t="shared" si="3"/>
        <v>19</v>
      </c>
      <c r="P6" s="14">
        <f t="shared" si="4"/>
        <v>2</v>
      </c>
    </row>
    <row r="7" spans="2:16" hidden="1" x14ac:dyDescent="0.15">
      <c r="B7" s="41" t="s">
        <v>10</v>
      </c>
      <c r="C7" s="41" t="s">
        <v>11</v>
      </c>
      <c r="D7" s="41" t="s">
        <v>3</v>
      </c>
      <c r="E7" s="41" t="s">
        <v>63</v>
      </c>
      <c r="F7" s="41" t="s">
        <v>67</v>
      </c>
      <c r="G7" s="41" t="s">
        <v>17</v>
      </c>
      <c r="H7" s="41" t="s">
        <v>68</v>
      </c>
      <c r="I7" s="41" t="s">
        <v>69</v>
      </c>
      <c r="J7" s="40" t="str">
        <f t="shared" si="0"/>
        <v>Rithu + Darshan Patel</v>
      </c>
      <c r="K7" s="45" t="s">
        <v>123</v>
      </c>
      <c r="L7" s="40" t="str">
        <f t="shared" si="1"/>
        <v>Team 3</v>
      </c>
      <c r="M7" s="39"/>
      <c r="N7" s="14">
        <f t="shared" si="2"/>
        <v>16</v>
      </c>
      <c r="O7" s="14">
        <f t="shared" si="3"/>
        <v>21</v>
      </c>
      <c r="P7" s="14">
        <f t="shared" si="4"/>
        <v>-5</v>
      </c>
    </row>
    <row r="8" spans="2:16" hidden="1" x14ac:dyDescent="0.15">
      <c r="B8" s="41" t="s">
        <v>10</v>
      </c>
      <c r="C8" s="41" t="s">
        <v>11</v>
      </c>
      <c r="D8" s="41" t="s">
        <v>2</v>
      </c>
      <c r="E8" s="41" t="s">
        <v>59</v>
      </c>
      <c r="F8" s="41" t="s">
        <v>60</v>
      </c>
      <c r="G8" s="41" t="s">
        <v>19</v>
      </c>
      <c r="H8" s="41" t="s">
        <v>70</v>
      </c>
      <c r="I8" s="41" t="s">
        <v>71</v>
      </c>
      <c r="J8" s="40" t="str">
        <f t="shared" si="0"/>
        <v>Jay B</v>
      </c>
      <c r="K8" s="45" t="s">
        <v>72</v>
      </c>
      <c r="L8" s="40" t="str">
        <f t="shared" si="1"/>
        <v>Team 4</v>
      </c>
      <c r="M8" s="39"/>
      <c r="N8" s="14">
        <f t="shared" si="2"/>
        <v>11</v>
      </c>
      <c r="O8" s="14">
        <f t="shared" si="3"/>
        <v>21</v>
      </c>
      <c r="P8" s="14">
        <f t="shared" si="4"/>
        <v>-10</v>
      </c>
    </row>
    <row r="9" spans="2:16" x14ac:dyDescent="0.15">
      <c r="B9" s="41" t="s">
        <v>10</v>
      </c>
      <c r="C9" s="41" t="s">
        <v>11</v>
      </c>
      <c r="D9" s="41" t="s">
        <v>2</v>
      </c>
      <c r="E9" s="41" t="s">
        <v>59</v>
      </c>
      <c r="F9" s="41" t="s">
        <v>60</v>
      </c>
      <c r="G9" s="41" t="s">
        <v>16</v>
      </c>
      <c r="H9" s="41" t="s">
        <v>73</v>
      </c>
      <c r="I9" s="41" t="s">
        <v>74</v>
      </c>
      <c r="J9" s="40" t="s">
        <v>73</v>
      </c>
      <c r="K9" s="45" t="s">
        <v>110</v>
      </c>
      <c r="L9" s="40" t="str">
        <f t="shared" si="1"/>
        <v>Team 1</v>
      </c>
      <c r="M9" s="39"/>
      <c r="N9" s="14">
        <f t="shared" si="2"/>
        <v>21</v>
      </c>
      <c r="O9" s="14">
        <f t="shared" si="3"/>
        <v>15</v>
      </c>
      <c r="P9" s="14">
        <f t="shared" si="4"/>
        <v>6</v>
      </c>
    </row>
    <row r="10" spans="2:16" hidden="1" x14ac:dyDescent="0.15">
      <c r="B10" s="41" t="s">
        <v>10</v>
      </c>
      <c r="C10" s="41" t="s">
        <v>22</v>
      </c>
      <c r="D10" s="41" t="s">
        <v>59</v>
      </c>
      <c r="E10" s="41" t="s">
        <v>50</v>
      </c>
      <c r="F10" s="41" t="s">
        <v>75</v>
      </c>
      <c r="G10" s="41" t="s">
        <v>15</v>
      </c>
      <c r="H10" s="41" t="s">
        <v>62</v>
      </c>
      <c r="I10" s="41" t="s">
        <v>56</v>
      </c>
      <c r="J10" s="40" t="str">
        <f t="shared" ref="J10:J41" si="5">IF(K10="","",IFERROR(IF(--_xlfn.TEXTBEFORE(K10,"-")&gt;--_xlfn.TEXTAFTER(K10,"-"),H10,IF(--_xlfn.TEXTAFTER(K10,"-")&gt;--_xlfn.TEXTBEFORE(K10,"-"),I10,"Tie")),"Check score"))</f>
        <v>Subashree</v>
      </c>
      <c r="K10" s="45" t="s">
        <v>76</v>
      </c>
      <c r="L10" s="40" t="str">
        <f t="shared" si="1"/>
        <v>Team 4</v>
      </c>
      <c r="M10" s="39"/>
      <c r="N10" s="14">
        <f t="shared" si="2"/>
        <v>21</v>
      </c>
      <c r="O10" s="14">
        <f t="shared" si="3"/>
        <v>13</v>
      </c>
      <c r="P10" s="14">
        <f t="shared" si="4"/>
        <v>8</v>
      </c>
    </row>
    <row r="11" spans="2:16" hidden="1" x14ac:dyDescent="0.15">
      <c r="B11" s="41" t="s">
        <v>10</v>
      </c>
      <c r="C11" s="41" t="s">
        <v>22</v>
      </c>
      <c r="D11" s="41" t="s">
        <v>63</v>
      </c>
      <c r="E11" s="41" t="s">
        <v>50</v>
      </c>
      <c r="F11" s="41" t="s">
        <v>77</v>
      </c>
      <c r="G11" s="41" t="s">
        <v>19</v>
      </c>
      <c r="H11" s="41" t="s">
        <v>78</v>
      </c>
      <c r="I11" s="41" t="s">
        <v>79</v>
      </c>
      <c r="J11" s="40" t="str">
        <f t="shared" si="5"/>
        <v>Vidwan</v>
      </c>
      <c r="K11" s="45" t="s">
        <v>72</v>
      </c>
      <c r="L11" s="40" t="str">
        <f t="shared" si="1"/>
        <v>Team 5</v>
      </c>
      <c r="M11" s="39"/>
      <c r="N11" s="14">
        <f t="shared" si="2"/>
        <v>11</v>
      </c>
      <c r="O11" s="14">
        <f t="shared" si="3"/>
        <v>21</v>
      </c>
      <c r="P11" s="14">
        <f t="shared" si="4"/>
        <v>-10</v>
      </c>
    </row>
    <row r="12" spans="2:16" hidden="1" x14ac:dyDescent="0.15">
      <c r="B12" s="41" t="s">
        <v>10</v>
      </c>
      <c r="C12" s="41" t="s">
        <v>22</v>
      </c>
      <c r="D12" s="41" t="s">
        <v>50</v>
      </c>
      <c r="E12" s="41" t="s">
        <v>51</v>
      </c>
      <c r="F12" s="41" t="s">
        <v>52</v>
      </c>
      <c r="G12" s="41" t="s">
        <v>20</v>
      </c>
      <c r="H12" s="41" t="s">
        <v>80</v>
      </c>
      <c r="I12" s="41" t="s">
        <v>81</v>
      </c>
      <c r="J12" s="40" t="str">
        <f t="shared" si="5"/>
        <v>Nagarajan  + Chandrashaker Joshi</v>
      </c>
      <c r="K12" s="45" t="s">
        <v>221</v>
      </c>
      <c r="L12" s="40" t="str">
        <f t="shared" si="1"/>
        <v>Team 6</v>
      </c>
      <c r="M12" s="39"/>
      <c r="N12" s="14">
        <f t="shared" si="2"/>
        <v>18</v>
      </c>
      <c r="O12" s="14">
        <f t="shared" si="3"/>
        <v>21</v>
      </c>
      <c r="P12" s="14">
        <f t="shared" si="4"/>
        <v>-3</v>
      </c>
    </row>
    <row r="13" spans="2:16" hidden="1" x14ac:dyDescent="0.15">
      <c r="B13" s="41" t="s">
        <v>10</v>
      </c>
      <c r="C13" s="41" t="s">
        <v>22</v>
      </c>
      <c r="D13" s="41" t="s">
        <v>3</v>
      </c>
      <c r="E13" s="41" t="s">
        <v>59</v>
      </c>
      <c r="F13" s="41" t="s">
        <v>82</v>
      </c>
      <c r="G13" s="41" t="s">
        <v>21</v>
      </c>
      <c r="H13" s="41" t="s">
        <v>83</v>
      </c>
      <c r="I13" s="41" t="s">
        <v>84</v>
      </c>
      <c r="J13" s="40" t="str">
        <f t="shared" si="5"/>
        <v>Yuvraj + Karthik KB</v>
      </c>
      <c r="K13" s="45" t="s">
        <v>55</v>
      </c>
      <c r="L13" s="40" t="str">
        <f t="shared" si="1"/>
        <v>Team 2</v>
      </c>
      <c r="M13" s="39"/>
      <c r="N13" s="14">
        <f t="shared" si="2"/>
        <v>21</v>
      </c>
      <c r="O13" s="14">
        <f t="shared" si="3"/>
        <v>16</v>
      </c>
      <c r="P13" s="14">
        <f t="shared" si="4"/>
        <v>5</v>
      </c>
    </row>
    <row r="14" spans="2:16" hidden="1" x14ac:dyDescent="0.15">
      <c r="B14" s="41" t="s">
        <v>10</v>
      </c>
      <c r="C14" s="41" t="s">
        <v>22</v>
      </c>
      <c r="D14" s="41" t="s">
        <v>2</v>
      </c>
      <c r="E14" s="41" t="s">
        <v>50</v>
      </c>
      <c r="F14" s="41" t="s">
        <v>85</v>
      </c>
      <c r="G14" s="41" t="s">
        <v>20</v>
      </c>
      <c r="H14" s="41" t="s">
        <v>86</v>
      </c>
      <c r="I14" s="41" t="s">
        <v>80</v>
      </c>
      <c r="J14" s="40" t="str">
        <f t="shared" si="5"/>
        <v>Nikhil M + Jinendar</v>
      </c>
      <c r="K14" s="45" t="s">
        <v>87</v>
      </c>
      <c r="L14" s="40" t="str">
        <f t="shared" si="1"/>
        <v>Team 1</v>
      </c>
      <c r="M14" s="39"/>
      <c r="N14" s="14">
        <f t="shared" si="2"/>
        <v>21</v>
      </c>
      <c r="O14" s="14">
        <f t="shared" si="3"/>
        <v>11</v>
      </c>
      <c r="P14" s="14">
        <f t="shared" si="4"/>
        <v>10</v>
      </c>
    </row>
    <row r="15" spans="2:16" x14ac:dyDescent="0.15">
      <c r="B15" s="41" t="s">
        <v>10</v>
      </c>
      <c r="C15" s="41" t="s">
        <v>22</v>
      </c>
      <c r="D15" s="41" t="s">
        <v>59</v>
      </c>
      <c r="E15" s="41" t="s">
        <v>51</v>
      </c>
      <c r="F15" s="41" t="s">
        <v>88</v>
      </c>
      <c r="G15" s="41" t="s">
        <v>16</v>
      </c>
      <c r="H15" s="41" t="s">
        <v>74</v>
      </c>
      <c r="I15" s="41" t="s">
        <v>89</v>
      </c>
      <c r="J15" s="40" t="str">
        <f t="shared" si="5"/>
        <v>Subashree + Sanjana</v>
      </c>
      <c r="K15" s="45" t="s">
        <v>87</v>
      </c>
      <c r="L15" s="40" t="str">
        <f t="shared" si="1"/>
        <v>Team 4</v>
      </c>
      <c r="M15" s="39"/>
      <c r="N15" s="14">
        <f t="shared" si="2"/>
        <v>21</v>
      </c>
      <c r="O15" s="14">
        <f t="shared" si="3"/>
        <v>11</v>
      </c>
      <c r="P15" s="14">
        <f t="shared" si="4"/>
        <v>10</v>
      </c>
    </row>
    <row r="16" spans="2:16" x14ac:dyDescent="0.15">
      <c r="B16" s="41" t="s">
        <v>10</v>
      </c>
      <c r="C16" s="41" t="s">
        <v>22</v>
      </c>
      <c r="D16" s="41" t="s">
        <v>2</v>
      </c>
      <c r="E16" s="41" t="s">
        <v>63</v>
      </c>
      <c r="F16" s="41" t="s">
        <v>90</v>
      </c>
      <c r="G16" s="41" t="s">
        <v>16</v>
      </c>
      <c r="H16" s="41" t="s">
        <v>73</v>
      </c>
      <c r="I16" s="41" t="s">
        <v>91</v>
      </c>
      <c r="J16" s="40" t="str">
        <f t="shared" si="5"/>
        <v>Amrutha + Neha</v>
      </c>
      <c r="K16" s="45" t="s">
        <v>76</v>
      </c>
      <c r="L16" s="40" t="str">
        <f t="shared" si="1"/>
        <v>Team 1</v>
      </c>
      <c r="M16" s="39"/>
      <c r="N16" s="14">
        <f t="shared" si="2"/>
        <v>21</v>
      </c>
      <c r="O16" s="14">
        <f t="shared" si="3"/>
        <v>13</v>
      </c>
      <c r="P16" s="14">
        <f t="shared" si="4"/>
        <v>8</v>
      </c>
    </row>
    <row r="17" spans="2:16" hidden="1" x14ac:dyDescent="0.15">
      <c r="B17" s="41" t="s">
        <v>26</v>
      </c>
      <c r="C17" s="41" t="s">
        <v>11</v>
      </c>
      <c r="D17" s="41" t="s">
        <v>63</v>
      </c>
      <c r="E17" s="41" t="s">
        <v>51</v>
      </c>
      <c r="F17" s="41" t="s">
        <v>92</v>
      </c>
      <c r="G17" s="41" t="s">
        <v>20</v>
      </c>
      <c r="H17" s="41" t="s">
        <v>93</v>
      </c>
      <c r="I17" s="41" t="s">
        <v>81</v>
      </c>
      <c r="J17" s="40" t="str">
        <f t="shared" si="5"/>
        <v>Kunal D + Anirudha H</v>
      </c>
      <c r="K17" s="45" t="s">
        <v>216</v>
      </c>
      <c r="L17" s="40" t="str">
        <f t="shared" si="1"/>
        <v>Team 3</v>
      </c>
      <c r="M17" s="39"/>
      <c r="N17" s="14">
        <f t="shared" si="2"/>
        <v>21</v>
      </c>
      <c r="O17" s="14">
        <f t="shared" si="3"/>
        <v>18</v>
      </c>
      <c r="P17" s="14">
        <f t="shared" si="4"/>
        <v>3</v>
      </c>
    </row>
    <row r="18" spans="2:16" hidden="1" x14ac:dyDescent="0.15">
      <c r="B18" s="41" t="s">
        <v>26</v>
      </c>
      <c r="C18" s="41" t="s">
        <v>11</v>
      </c>
      <c r="D18" s="41" t="s">
        <v>2</v>
      </c>
      <c r="E18" s="41" t="s">
        <v>59</v>
      </c>
      <c r="F18" s="41" t="s">
        <v>60</v>
      </c>
      <c r="G18" s="41" t="s">
        <v>17</v>
      </c>
      <c r="H18" s="41" t="s">
        <v>94</v>
      </c>
      <c r="I18" s="41" t="s">
        <v>95</v>
      </c>
      <c r="J18" s="40" t="str">
        <f t="shared" si="5"/>
        <v>Neha + Dhruv Jaju</v>
      </c>
      <c r="K18" s="45" t="s">
        <v>217</v>
      </c>
      <c r="L18" s="40" t="str">
        <f t="shared" si="1"/>
        <v>Team 1</v>
      </c>
      <c r="M18" s="39"/>
      <c r="N18" s="14">
        <f t="shared" si="2"/>
        <v>21</v>
      </c>
      <c r="O18" s="14">
        <f t="shared" si="3"/>
        <v>17</v>
      </c>
      <c r="P18" s="14">
        <f t="shared" si="4"/>
        <v>4</v>
      </c>
    </row>
    <row r="19" spans="2:16" hidden="1" x14ac:dyDescent="0.15">
      <c r="B19" s="41" t="s">
        <v>26</v>
      </c>
      <c r="C19" s="41" t="s">
        <v>11</v>
      </c>
      <c r="D19" s="41" t="s">
        <v>63</v>
      </c>
      <c r="E19" s="41" t="s">
        <v>59</v>
      </c>
      <c r="F19" s="41" t="s">
        <v>64</v>
      </c>
      <c r="G19" s="41" t="s">
        <v>18</v>
      </c>
      <c r="H19" s="41" t="s">
        <v>96</v>
      </c>
      <c r="I19" s="41" t="s">
        <v>97</v>
      </c>
      <c r="J19" s="40" t="str">
        <f t="shared" si="5"/>
        <v>Sujal</v>
      </c>
      <c r="K19" s="45" t="s">
        <v>119</v>
      </c>
      <c r="L19" s="40" t="str">
        <f t="shared" si="1"/>
        <v>Team 3</v>
      </c>
      <c r="M19" s="39"/>
      <c r="N19" s="14">
        <f t="shared" si="2"/>
        <v>21</v>
      </c>
      <c r="O19" s="14">
        <f t="shared" si="3"/>
        <v>12</v>
      </c>
      <c r="P19" s="14">
        <f t="shared" si="4"/>
        <v>9</v>
      </c>
    </row>
    <row r="20" spans="2:16" hidden="1" x14ac:dyDescent="0.15">
      <c r="B20" s="41" t="s">
        <v>26</v>
      </c>
      <c r="C20" s="41" t="s">
        <v>11</v>
      </c>
      <c r="D20" s="41" t="s">
        <v>3</v>
      </c>
      <c r="E20" s="41" t="s">
        <v>63</v>
      </c>
      <c r="F20" s="41" t="s">
        <v>67</v>
      </c>
      <c r="G20" s="41" t="s">
        <v>18</v>
      </c>
      <c r="H20" s="41" t="s">
        <v>98</v>
      </c>
      <c r="I20" s="41" t="s">
        <v>96</v>
      </c>
      <c r="J20" s="40" t="str">
        <f t="shared" si="5"/>
        <v>Sujal</v>
      </c>
      <c r="K20" s="45" t="s">
        <v>123</v>
      </c>
      <c r="L20" s="40" t="str">
        <f t="shared" si="1"/>
        <v>Team 3</v>
      </c>
      <c r="M20" s="39"/>
      <c r="N20" s="14">
        <f t="shared" si="2"/>
        <v>16</v>
      </c>
      <c r="O20" s="14">
        <f t="shared" si="3"/>
        <v>21</v>
      </c>
      <c r="P20" s="14">
        <f t="shared" si="4"/>
        <v>-5</v>
      </c>
    </row>
    <row r="21" spans="2:16" hidden="1" x14ac:dyDescent="0.15">
      <c r="B21" s="41" t="s">
        <v>26</v>
      </c>
      <c r="C21" s="41" t="s">
        <v>11</v>
      </c>
      <c r="D21" s="41" t="s">
        <v>63</v>
      </c>
      <c r="E21" s="41" t="s">
        <v>59</v>
      </c>
      <c r="F21" s="41" t="s">
        <v>64</v>
      </c>
      <c r="G21" s="41" t="s">
        <v>17</v>
      </c>
      <c r="H21" s="41" t="s">
        <v>69</v>
      </c>
      <c r="I21" s="41" t="s">
        <v>95</v>
      </c>
      <c r="J21" s="40" t="str">
        <f t="shared" si="5"/>
        <v>Rithu + Darshan Patel</v>
      </c>
      <c r="K21" s="45" t="s">
        <v>55</v>
      </c>
      <c r="L21" s="40" t="str">
        <f t="shared" si="1"/>
        <v>Team 3</v>
      </c>
      <c r="M21" s="39"/>
      <c r="N21" s="14">
        <f t="shared" si="2"/>
        <v>21</v>
      </c>
      <c r="O21" s="14">
        <f t="shared" si="3"/>
        <v>16</v>
      </c>
      <c r="P21" s="14">
        <f t="shared" si="4"/>
        <v>5</v>
      </c>
    </row>
    <row r="22" spans="2:16" hidden="1" x14ac:dyDescent="0.15">
      <c r="B22" s="41" t="s">
        <v>26</v>
      </c>
      <c r="C22" s="41" t="s">
        <v>11</v>
      </c>
      <c r="D22" s="41" t="s">
        <v>2</v>
      </c>
      <c r="E22" s="41" t="s">
        <v>51</v>
      </c>
      <c r="F22" s="41" t="s">
        <v>99</v>
      </c>
      <c r="G22" s="41" t="s">
        <v>21</v>
      </c>
      <c r="H22" s="41" t="s">
        <v>100</v>
      </c>
      <c r="I22" s="41" t="s">
        <v>101</v>
      </c>
      <c r="J22" s="40" t="str">
        <f t="shared" si="5"/>
        <v/>
      </c>
      <c r="K22" s="45"/>
      <c r="L22" s="40" t="str">
        <f t="shared" si="1"/>
        <v/>
      </c>
      <c r="M22" s="39" t="s">
        <v>227</v>
      </c>
      <c r="N22" s="14" t="str">
        <f t="shared" si="2"/>
        <v/>
      </c>
      <c r="O22" s="14" t="str">
        <f t="shared" si="3"/>
        <v/>
      </c>
      <c r="P22" s="14" t="str">
        <f t="shared" si="4"/>
        <v/>
      </c>
    </row>
    <row r="23" spans="2:16" hidden="1" x14ac:dyDescent="0.15">
      <c r="B23" s="41" t="s">
        <v>26</v>
      </c>
      <c r="C23" s="41" t="s">
        <v>11</v>
      </c>
      <c r="D23" s="41" t="s">
        <v>63</v>
      </c>
      <c r="E23" s="41" t="s">
        <v>50</v>
      </c>
      <c r="F23" s="41" t="s">
        <v>77</v>
      </c>
      <c r="G23" s="41" t="s">
        <v>15</v>
      </c>
      <c r="H23" s="41" t="s">
        <v>65</v>
      </c>
      <c r="I23" s="41" t="s">
        <v>56</v>
      </c>
      <c r="J23" s="40" t="str">
        <f t="shared" si="5"/>
        <v>Mamta</v>
      </c>
      <c r="K23" s="45" t="s">
        <v>119</v>
      </c>
      <c r="L23" s="40" t="str">
        <f t="shared" si="1"/>
        <v>Team 3</v>
      </c>
      <c r="M23" s="39"/>
      <c r="N23" s="14">
        <f t="shared" si="2"/>
        <v>21</v>
      </c>
      <c r="O23" s="14">
        <f t="shared" si="3"/>
        <v>12</v>
      </c>
      <c r="P23" s="14">
        <f t="shared" si="4"/>
        <v>9</v>
      </c>
    </row>
    <row r="24" spans="2:16" hidden="1" x14ac:dyDescent="0.15">
      <c r="B24" s="41" t="s">
        <v>26</v>
      </c>
      <c r="C24" s="41" t="s">
        <v>22</v>
      </c>
      <c r="D24" s="41" t="s">
        <v>3</v>
      </c>
      <c r="E24" s="41" t="s">
        <v>51</v>
      </c>
      <c r="F24" s="41" t="s">
        <v>102</v>
      </c>
      <c r="G24" s="41" t="s">
        <v>19</v>
      </c>
      <c r="H24" s="41" t="s">
        <v>103</v>
      </c>
      <c r="I24" s="41" t="s">
        <v>104</v>
      </c>
      <c r="J24" s="40" t="str">
        <f t="shared" si="5"/>
        <v>Navtej</v>
      </c>
      <c r="K24" s="45" t="s">
        <v>212</v>
      </c>
      <c r="L24" s="40" t="str">
        <f t="shared" si="1"/>
        <v>Team 6</v>
      </c>
      <c r="M24" s="39"/>
      <c r="N24" s="14">
        <f t="shared" si="2"/>
        <v>12</v>
      </c>
      <c r="O24" s="14">
        <f t="shared" si="3"/>
        <v>21</v>
      </c>
      <c r="P24" s="14">
        <f t="shared" si="4"/>
        <v>-9</v>
      </c>
    </row>
    <row r="25" spans="2:16" hidden="1" x14ac:dyDescent="0.15">
      <c r="B25" s="41" t="s">
        <v>26</v>
      </c>
      <c r="C25" s="41" t="s">
        <v>22</v>
      </c>
      <c r="D25" s="41" t="s">
        <v>3</v>
      </c>
      <c r="E25" s="41" t="s">
        <v>51</v>
      </c>
      <c r="F25" s="41" t="s">
        <v>102</v>
      </c>
      <c r="G25" s="41" t="s">
        <v>18</v>
      </c>
      <c r="H25" s="41" t="s">
        <v>98</v>
      </c>
      <c r="I25" s="41" t="s">
        <v>105</v>
      </c>
      <c r="J25" s="40" t="str">
        <f t="shared" si="5"/>
        <v>Anshul</v>
      </c>
      <c r="K25" s="45" t="s">
        <v>120</v>
      </c>
      <c r="L25" s="40" t="str">
        <f t="shared" si="1"/>
        <v>Team 6</v>
      </c>
      <c r="M25" s="39"/>
      <c r="N25" s="14">
        <f t="shared" si="2"/>
        <v>0</v>
      </c>
      <c r="O25" s="14">
        <f t="shared" si="3"/>
        <v>21</v>
      </c>
      <c r="P25" s="14">
        <f t="shared" si="4"/>
        <v>-21</v>
      </c>
    </row>
    <row r="26" spans="2:16" hidden="1" x14ac:dyDescent="0.15">
      <c r="B26" s="41" t="s">
        <v>26</v>
      </c>
      <c r="C26" s="41" t="s">
        <v>22</v>
      </c>
      <c r="D26" s="41" t="s">
        <v>63</v>
      </c>
      <c r="E26" s="41" t="s">
        <v>51</v>
      </c>
      <c r="F26" s="41" t="s">
        <v>92</v>
      </c>
      <c r="G26" s="41" t="s">
        <v>17</v>
      </c>
      <c r="H26" s="41" t="s">
        <v>69</v>
      </c>
      <c r="I26" s="41" t="s">
        <v>54</v>
      </c>
      <c r="J26" s="40" t="str">
        <f t="shared" si="5"/>
        <v>Rithu + Darshan Patel</v>
      </c>
      <c r="K26" s="45" t="s">
        <v>106</v>
      </c>
      <c r="L26" s="40" t="str">
        <f t="shared" si="1"/>
        <v>Team 3</v>
      </c>
      <c r="M26" s="39"/>
      <c r="N26" s="14">
        <f t="shared" si="2"/>
        <v>21</v>
      </c>
      <c r="O26" s="14">
        <f t="shared" si="3"/>
        <v>14</v>
      </c>
      <c r="P26" s="14">
        <f t="shared" si="4"/>
        <v>7</v>
      </c>
    </row>
    <row r="27" spans="2:16" hidden="1" x14ac:dyDescent="0.15">
      <c r="B27" s="41" t="s">
        <v>26</v>
      </c>
      <c r="C27" s="41" t="s">
        <v>22</v>
      </c>
      <c r="D27" s="41" t="s">
        <v>63</v>
      </c>
      <c r="E27" s="41" t="s">
        <v>51</v>
      </c>
      <c r="F27" s="41" t="s">
        <v>92</v>
      </c>
      <c r="G27" s="41" t="s">
        <v>15</v>
      </c>
      <c r="H27" s="41" t="s">
        <v>65</v>
      </c>
      <c r="I27" s="41" t="s">
        <v>57</v>
      </c>
      <c r="J27" s="40" t="str">
        <f t="shared" si="5"/>
        <v>Neha P Jain</v>
      </c>
      <c r="K27" s="45" t="s">
        <v>72</v>
      </c>
      <c r="L27" s="40" t="str">
        <f t="shared" si="1"/>
        <v>Team 6</v>
      </c>
      <c r="M27" s="39"/>
      <c r="N27" s="14">
        <f t="shared" si="2"/>
        <v>11</v>
      </c>
      <c r="O27" s="14">
        <f t="shared" si="3"/>
        <v>21</v>
      </c>
      <c r="P27" s="14">
        <f t="shared" si="4"/>
        <v>-10</v>
      </c>
    </row>
    <row r="28" spans="2:16" hidden="1" x14ac:dyDescent="0.15">
      <c r="B28" s="41" t="s">
        <v>26</v>
      </c>
      <c r="C28" s="41" t="s">
        <v>22</v>
      </c>
      <c r="D28" s="41" t="s">
        <v>3</v>
      </c>
      <c r="E28" s="41" t="s">
        <v>63</v>
      </c>
      <c r="F28" s="41" t="s">
        <v>67</v>
      </c>
      <c r="G28" s="41" t="s">
        <v>21</v>
      </c>
      <c r="H28" s="41" t="s">
        <v>83</v>
      </c>
      <c r="I28" s="41" t="s">
        <v>107</v>
      </c>
      <c r="J28" s="40" t="str">
        <f t="shared" si="5"/>
        <v>Sarvesh H + Deviprasad</v>
      </c>
      <c r="K28" s="45" t="s">
        <v>124</v>
      </c>
      <c r="L28" s="40" t="str">
        <f t="shared" si="1"/>
        <v>Team 3</v>
      </c>
      <c r="M28" s="39"/>
      <c r="N28" s="14">
        <f t="shared" si="2"/>
        <v>17</v>
      </c>
      <c r="O28" s="14">
        <f t="shared" si="3"/>
        <v>21</v>
      </c>
      <c r="P28" s="14">
        <f t="shared" si="4"/>
        <v>-4</v>
      </c>
    </row>
    <row r="29" spans="2:16" hidden="1" x14ac:dyDescent="0.15">
      <c r="B29" s="41" t="s">
        <v>26</v>
      </c>
      <c r="C29" s="41" t="s">
        <v>22</v>
      </c>
      <c r="D29" s="41" t="s">
        <v>2</v>
      </c>
      <c r="E29" s="41" t="s">
        <v>50</v>
      </c>
      <c r="F29" s="41" t="s">
        <v>85</v>
      </c>
      <c r="G29" s="41" t="s">
        <v>21</v>
      </c>
      <c r="H29" s="41" t="s">
        <v>100</v>
      </c>
      <c r="I29" s="41" t="s">
        <v>108</v>
      </c>
      <c r="J29" s="40" t="str">
        <f t="shared" si="5"/>
        <v>Sreesha + Manan</v>
      </c>
      <c r="K29" s="45" t="s">
        <v>222</v>
      </c>
      <c r="L29" s="40" t="str">
        <f t="shared" si="1"/>
        <v>Team 1</v>
      </c>
      <c r="M29" s="39"/>
      <c r="N29" s="14">
        <f t="shared" si="2"/>
        <v>21</v>
      </c>
      <c r="O29" s="14">
        <f t="shared" si="3"/>
        <v>10</v>
      </c>
      <c r="P29" s="14">
        <f t="shared" si="4"/>
        <v>11</v>
      </c>
    </row>
    <row r="30" spans="2:16" hidden="1" x14ac:dyDescent="0.15">
      <c r="B30" s="41" t="s">
        <v>26</v>
      </c>
      <c r="C30" s="41" t="s">
        <v>22</v>
      </c>
      <c r="D30" s="41" t="s">
        <v>50</v>
      </c>
      <c r="E30" s="41" t="s">
        <v>51</v>
      </c>
      <c r="F30" s="41" t="s">
        <v>52</v>
      </c>
      <c r="G30" s="41" t="s">
        <v>18</v>
      </c>
      <c r="H30" s="41" t="s">
        <v>109</v>
      </c>
      <c r="I30" s="41" t="s">
        <v>105</v>
      </c>
      <c r="J30" s="40" t="str">
        <f t="shared" si="5"/>
        <v>Pavan D</v>
      </c>
      <c r="K30" s="45" t="s">
        <v>110</v>
      </c>
      <c r="L30" s="40" t="str">
        <f t="shared" si="1"/>
        <v>Team 5</v>
      </c>
      <c r="M30" s="39"/>
      <c r="N30" s="14">
        <f t="shared" si="2"/>
        <v>21</v>
      </c>
      <c r="O30" s="14">
        <f t="shared" si="3"/>
        <v>15</v>
      </c>
      <c r="P30" s="14">
        <f t="shared" si="4"/>
        <v>6</v>
      </c>
    </row>
    <row r="31" spans="2:16" hidden="1" x14ac:dyDescent="0.15">
      <c r="B31" s="41" t="s">
        <v>31</v>
      </c>
      <c r="C31" s="41" t="s">
        <v>11</v>
      </c>
      <c r="D31" s="41" t="s">
        <v>3</v>
      </c>
      <c r="E31" s="41" t="s">
        <v>50</v>
      </c>
      <c r="F31" s="41" t="s">
        <v>111</v>
      </c>
      <c r="G31" s="41" t="s">
        <v>18</v>
      </c>
      <c r="H31" s="41" t="s">
        <v>98</v>
      </c>
      <c r="I31" s="41" t="s">
        <v>109</v>
      </c>
      <c r="J31" s="40" t="str">
        <f t="shared" si="5"/>
        <v>Pavan D</v>
      </c>
      <c r="K31" s="45" t="s">
        <v>58</v>
      </c>
      <c r="L31" s="40" t="str">
        <f t="shared" si="1"/>
        <v>Team 5</v>
      </c>
      <c r="M31" s="39"/>
      <c r="N31" s="14">
        <f t="shared" si="2"/>
        <v>7</v>
      </c>
      <c r="O31" s="14">
        <f t="shared" si="3"/>
        <v>21</v>
      </c>
      <c r="P31" s="14">
        <f t="shared" si="4"/>
        <v>-14</v>
      </c>
    </row>
    <row r="32" spans="2:16" hidden="1" x14ac:dyDescent="0.15">
      <c r="B32" s="41" t="s">
        <v>31</v>
      </c>
      <c r="C32" s="41" t="s">
        <v>11</v>
      </c>
      <c r="D32" s="41" t="s">
        <v>59</v>
      </c>
      <c r="E32" s="41" t="s">
        <v>51</v>
      </c>
      <c r="F32" s="41" t="s">
        <v>88</v>
      </c>
      <c r="G32" s="41" t="s">
        <v>19</v>
      </c>
      <c r="H32" s="41" t="s">
        <v>71</v>
      </c>
      <c r="I32" s="41" t="s">
        <v>104</v>
      </c>
      <c r="J32" s="40" t="str">
        <f t="shared" si="5"/>
        <v>Jay B</v>
      </c>
      <c r="K32" s="45" t="s">
        <v>112</v>
      </c>
      <c r="L32" s="40" t="str">
        <f t="shared" si="1"/>
        <v>Team 4</v>
      </c>
      <c r="M32" s="39"/>
      <c r="N32" s="14">
        <f t="shared" si="2"/>
        <v>21</v>
      </c>
      <c r="O32" s="14">
        <f t="shared" si="3"/>
        <v>7</v>
      </c>
      <c r="P32" s="14">
        <f t="shared" si="4"/>
        <v>14</v>
      </c>
    </row>
    <row r="33" spans="2:16" hidden="1" x14ac:dyDescent="0.15">
      <c r="B33" s="41" t="s">
        <v>31</v>
      </c>
      <c r="C33" s="41" t="s">
        <v>11</v>
      </c>
      <c r="D33" s="41" t="s">
        <v>3</v>
      </c>
      <c r="E33" s="41" t="s">
        <v>50</v>
      </c>
      <c r="F33" s="41" t="s">
        <v>111</v>
      </c>
      <c r="G33" s="41" t="s">
        <v>15</v>
      </c>
      <c r="H33" s="41" t="s">
        <v>113</v>
      </c>
      <c r="I33" s="41" t="s">
        <v>56</v>
      </c>
      <c r="J33" s="40" t="str">
        <f t="shared" si="5"/>
        <v>Vaishnavi M</v>
      </c>
      <c r="K33" s="45" t="s">
        <v>106</v>
      </c>
      <c r="L33" s="40" t="str">
        <f t="shared" si="1"/>
        <v>Team 2</v>
      </c>
      <c r="M33" s="39"/>
      <c r="N33" s="14">
        <f t="shared" si="2"/>
        <v>21</v>
      </c>
      <c r="O33" s="14">
        <f t="shared" si="3"/>
        <v>14</v>
      </c>
      <c r="P33" s="14">
        <f t="shared" si="4"/>
        <v>7</v>
      </c>
    </row>
    <row r="34" spans="2:16" ht="15" hidden="1" x14ac:dyDescent="0.2">
      <c r="B34" s="41" t="s">
        <v>31</v>
      </c>
      <c r="C34" s="41" t="s">
        <v>11</v>
      </c>
      <c r="D34" s="41" t="s">
        <v>59</v>
      </c>
      <c r="E34" s="41" t="s">
        <v>51</v>
      </c>
      <c r="F34" s="41" t="s">
        <v>88</v>
      </c>
      <c r="G34" s="41" t="s">
        <v>21</v>
      </c>
      <c r="H34" s="41" t="s">
        <v>84</v>
      </c>
      <c r="I34" s="41" t="s">
        <v>101</v>
      </c>
      <c r="J34" s="40" t="str">
        <f t="shared" si="5"/>
        <v>Rohan + Bhuvanesh</v>
      </c>
      <c r="K34" s="45" t="s">
        <v>220</v>
      </c>
      <c r="L34" s="40" t="str">
        <f t="shared" si="1"/>
        <v>Team 6</v>
      </c>
      <c r="M34" s="39"/>
      <c r="N34" s="14">
        <f t="shared" si="2"/>
        <v>13</v>
      </c>
      <c r="O34" s="14">
        <f t="shared" si="3"/>
        <v>21</v>
      </c>
      <c r="P34">
        <f t="shared" si="4"/>
        <v>-8</v>
      </c>
    </row>
    <row r="35" spans="2:16" hidden="1" x14ac:dyDescent="0.15">
      <c r="B35" s="41" t="s">
        <v>31</v>
      </c>
      <c r="C35" s="41" t="s">
        <v>11</v>
      </c>
      <c r="D35" s="41" t="s">
        <v>3</v>
      </c>
      <c r="E35" s="41" t="s">
        <v>63</v>
      </c>
      <c r="F35" s="41" t="s">
        <v>67</v>
      </c>
      <c r="G35" s="41" t="s">
        <v>19</v>
      </c>
      <c r="H35" s="41" t="s">
        <v>103</v>
      </c>
      <c r="I35" s="41" t="s">
        <v>78</v>
      </c>
      <c r="J35" s="40" t="str">
        <f t="shared" si="5"/>
        <v>Niraj Salot</v>
      </c>
      <c r="K35" s="45" t="s">
        <v>72</v>
      </c>
      <c r="L35" s="40" t="str">
        <f t="shared" ref="L35:L66" si="6">IF(K35="","",IFERROR(IF(--_xlfn.TEXTBEFORE(K35,"-")&gt;--_xlfn.TEXTAFTER(K35,"-"),D35,IF(--_xlfn.TEXTAFTER(K35,"-")&gt;--_xlfn.TEXTBEFORE(K35,"-"),E35,"Tie")),"Check score"))</f>
        <v>Team 3</v>
      </c>
      <c r="M35" s="39"/>
      <c r="N35" s="14">
        <f t="shared" ref="N35:N66" si="7">IFERROR(--_xlfn.TEXTBEFORE(K35,"-"),"")</f>
        <v>11</v>
      </c>
      <c r="O35" s="14">
        <f t="shared" ref="O35:O66" si="8">IFERROR(--_xlfn.TEXTAFTER(K35,"-"),"")</f>
        <v>21</v>
      </c>
      <c r="P35" s="14">
        <f t="shared" ref="P35:P66" si="9">IF(OR(N35="",O35=""),"",N35-O35)</f>
        <v>-10</v>
      </c>
    </row>
    <row r="36" spans="2:16" hidden="1" x14ac:dyDescent="0.15">
      <c r="B36" s="41" t="s">
        <v>31</v>
      </c>
      <c r="C36" s="41" t="s">
        <v>11</v>
      </c>
      <c r="D36" s="41" t="s">
        <v>2</v>
      </c>
      <c r="E36" s="41" t="s">
        <v>3</v>
      </c>
      <c r="F36" s="41" t="s">
        <v>114</v>
      </c>
      <c r="G36" s="41" t="s">
        <v>18</v>
      </c>
      <c r="H36" s="41" t="s">
        <v>115</v>
      </c>
      <c r="I36" s="41" t="s">
        <v>98</v>
      </c>
      <c r="J36" s="40" t="str">
        <f t="shared" si="5"/>
        <v>Saurabh</v>
      </c>
      <c r="K36" s="45" t="s">
        <v>106</v>
      </c>
      <c r="L36" s="40" t="str">
        <f t="shared" si="6"/>
        <v>Team 1</v>
      </c>
      <c r="M36" s="39"/>
      <c r="N36" s="14">
        <f t="shared" si="7"/>
        <v>21</v>
      </c>
      <c r="O36" s="14">
        <f t="shared" si="8"/>
        <v>14</v>
      </c>
      <c r="P36" s="14">
        <f t="shared" si="9"/>
        <v>7</v>
      </c>
    </row>
    <row r="37" spans="2:16" hidden="1" x14ac:dyDescent="0.15">
      <c r="B37" s="41" t="s">
        <v>31</v>
      </c>
      <c r="C37" s="41" t="s">
        <v>11</v>
      </c>
      <c r="D37" s="41" t="s">
        <v>2</v>
      </c>
      <c r="E37" s="41" t="s">
        <v>59</v>
      </c>
      <c r="F37" s="41" t="s">
        <v>60</v>
      </c>
      <c r="G37" s="41" t="s">
        <v>20</v>
      </c>
      <c r="H37" s="41" t="s">
        <v>86</v>
      </c>
      <c r="I37" s="41" t="s">
        <v>116</v>
      </c>
      <c r="J37" s="40" t="str">
        <f t="shared" si="5"/>
        <v>Leela Sagar + Ali Akbar</v>
      </c>
      <c r="K37" s="45" t="s">
        <v>127</v>
      </c>
      <c r="L37" s="40" t="str">
        <f t="shared" si="6"/>
        <v>Team 4</v>
      </c>
      <c r="M37" s="39"/>
      <c r="N37" s="14">
        <f t="shared" si="7"/>
        <v>14</v>
      </c>
      <c r="O37" s="14">
        <f t="shared" si="8"/>
        <v>21</v>
      </c>
      <c r="P37" s="14">
        <f t="shared" si="9"/>
        <v>-7</v>
      </c>
    </row>
    <row r="38" spans="2:16" hidden="1" x14ac:dyDescent="0.15">
      <c r="B38" s="41" t="s">
        <v>31</v>
      </c>
      <c r="C38" s="41" t="s">
        <v>22</v>
      </c>
      <c r="D38" s="41" t="s">
        <v>63</v>
      </c>
      <c r="E38" s="41" t="s">
        <v>50</v>
      </c>
      <c r="F38" s="41" t="s">
        <v>77</v>
      </c>
      <c r="G38" s="41" t="s">
        <v>20</v>
      </c>
      <c r="H38" s="41" t="s">
        <v>93</v>
      </c>
      <c r="I38" s="41" t="s">
        <v>80</v>
      </c>
      <c r="J38" s="40" t="str">
        <f t="shared" si="5"/>
        <v>Kunal D + Anirudha H</v>
      </c>
      <c r="K38" s="45" t="s">
        <v>76</v>
      </c>
      <c r="L38" s="40" t="str">
        <f t="shared" si="6"/>
        <v>Team 3</v>
      </c>
      <c r="M38" s="39"/>
      <c r="N38" s="14">
        <f t="shared" si="7"/>
        <v>21</v>
      </c>
      <c r="O38" s="14">
        <f t="shared" si="8"/>
        <v>13</v>
      </c>
      <c r="P38" s="14">
        <f t="shared" si="9"/>
        <v>8</v>
      </c>
    </row>
    <row r="39" spans="2:16" hidden="1" x14ac:dyDescent="0.15">
      <c r="B39" s="41" t="s">
        <v>31</v>
      </c>
      <c r="C39" s="41" t="s">
        <v>22</v>
      </c>
      <c r="D39" s="41" t="s">
        <v>59</v>
      </c>
      <c r="E39" s="41" t="s">
        <v>50</v>
      </c>
      <c r="F39" s="41" t="s">
        <v>75</v>
      </c>
      <c r="G39" s="41" t="s">
        <v>20</v>
      </c>
      <c r="H39" s="41" t="s">
        <v>116</v>
      </c>
      <c r="I39" s="41" t="s">
        <v>80</v>
      </c>
      <c r="J39" s="40" t="str">
        <f t="shared" si="5"/>
        <v>Leela Sagar + Ali Akbar</v>
      </c>
      <c r="K39" s="45" t="s">
        <v>213</v>
      </c>
      <c r="L39" s="40" t="str">
        <f t="shared" si="6"/>
        <v>Team 4</v>
      </c>
      <c r="M39" s="39"/>
      <c r="N39" s="14">
        <f t="shared" si="7"/>
        <v>21</v>
      </c>
      <c r="O39" s="14">
        <f t="shared" si="8"/>
        <v>9</v>
      </c>
      <c r="P39" s="14">
        <f t="shared" si="9"/>
        <v>12</v>
      </c>
    </row>
    <row r="40" spans="2:16" hidden="1" x14ac:dyDescent="0.15">
      <c r="B40" s="41" t="s">
        <v>31</v>
      </c>
      <c r="C40" s="41" t="s">
        <v>22</v>
      </c>
      <c r="D40" s="41" t="s">
        <v>3</v>
      </c>
      <c r="E40" s="41" t="s">
        <v>51</v>
      </c>
      <c r="F40" s="41" t="s">
        <v>102</v>
      </c>
      <c r="G40" s="41" t="s">
        <v>15</v>
      </c>
      <c r="H40" s="41" t="s">
        <v>113</v>
      </c>
      <c r="I40" s="41" t="s">
        <v>57</v>
      </c>
      <c r="J40" s="40" t="str">
        <f t="shared" si="5"/>
        <v>Neha P Jain</v>
      </c>
      <c r="K40" s="45" t="s">
        <v>244</v>
      </c>
      <c r="L40" s="40" t="str">
        <f t="shared" si="6"/>
        <v>Team 6</v>
      </c>
      <c r="M40" s="39"/>
      <c r="N40" s="14">
        <f t="shared" si="7"/>
        <v>6</v>
      </c>
      <c r="O40" s="14">
        <f t="shared" si="8"/>
        <v>21</v>
      </c>
      <c r="P40" s="14">
        <f t="shared" si="9"/>
        <v>-15</v>
      </c>
    </row>
    <row r="41" spans="2:16" hidden="1" x14ac:dyDescent="0.15">
      <c r="B41" s="41" t="s">
        <v>31</v>
      </c>
      <c r="C41" s="41" t="s">
        <v>22</v>
      </c>
      <c r="D41" s="41" t="s">
        <v>3</v>
      </c>
      <c r="E41" s="41" t="s">
        <v>50</v>
      </c>
      <c r="F41" s="41" t="s">
        <v>111</v>
      </c>
      <c r="G41" s="41" t="s">
        <v>17</v>
      </c>
      <c r="H41" s="41" t="s">
        <v>68</v>
      </c>
      <c r="I41" s="41" t="s">
        <v>53</v>
      </c>
      <c r="J41" s="40" t="str">
        <f t="shared" si="5"/>
        <v>Keerthana + Abhiram</v>
      </c>
      <c r="K41" s="45" t="s">
        <v>87</v>
      </c>
      <c r="L41" s="40" t="str">
        <f t="shared" si="6"/>
        <v>Team 2</v>
      </c>
      <c r="M41" s="39"/>
      <c r="N41" s="14">
        <f t="shared" si="7"/>
        <v>21</v>
      </c>
      <c r="O41" s="14">
        <f t="shared" si="8"/>
        <v>11</v>
      </c>
      <c r="P41" s="14">
        <f t="shared" si="9"/>
        <v>10</v>
      </c>
    </row>
    <row r="42" spans="2:16" hidden="1" x14ac:dyDescent="0.15">
      <c r="B42" s="41" t="s">
        <v>31</v>
      </c>
      <c r="C42" s="41" t="s">
        <v>22</v>
      </c>
      <c r="D42" s="41" t="s">
        <v>59</v>
      </c>
      <c r="E42" s="41" t="s">
        <v>50</v>
      </c>
      <c r="F42" s="41" t="s">
        <v>75</v>
      </c>
      <c r="G42" s="41" t="s">
        <v>21</v>
      </c>
      <c r="H42" s="41" t="s">
        <v>84</v>
      </c>
      <c r="I42" s="41" t="s">
        <v>108</v>
      </c>
      <c r="J42" s="40" t="str">
        <f t="shared" ref="J42:J73" si="10">IF(K42="","",IFERROR(IF(--_xlfn.TEXTBEFORE(K42,"-")&gt;--_xlfn.TEXTAFTER(K42,"-"),H42,IF(--_xlfn.TEXTAFTER(K42,"-")&gt;--_xlfn.TEXTBEFORE(K42,"-"),I42,"Tie")),"Check score"))</f>
        <v>Khush B + Hemanth</v>
      </c>
      <c r="K42" s="45" t="s">
        <v>215</v>
      </c>
      <c r="L42" s="40" t="str">
        <f t="shared" si="6"/>
        <v>Team 4</v>
      </c>
      <c r="M42" s="39"/>
      <c r="N42" s="14">
        <f t="shared" si="7"/>
        <v>21</v>
      </c>
      <c r="O42" s="14">
        <f t="shared" si="8"/>
        <v>6</v>
      </c>
      <c r="P42" s="14">
        <f t="shared" si="9"/>
        <v>15</v>
      </c>
    </row>
    <row r="43" spans="2:16" hidden="1" x14ac:dyDescent="0.15">
      <c r="B43" s="41" t="s">
        <v>31</v>
      </c>
      <c r="C43" s="41" t="s">
        <v>22</v>
      </c>
      <c r="D43" s="41" t="s">
        <v>63</v>
      </c>
      <c r="E43" s="41" t="s">
        <v>51</v>
      </c>
      <c r="F43" s="41" t="s">
        <v>92</v>
      </c>
      <c r="G43" s="41" t="s">
        <v>19</v>
      </c>
      <c r="H43" s="41" t="s">
        <v>78</v>
      </c>
      <c r="I43" s="41" t="s">
        <v>104</v>
      </c>
      <c r="J43" s="40" t="str">
        <f t="shared" si="10"/>
        <v>Navtej</v>
      </c>
      <c r="K43" s="45" t="s">
        <v>221</v>
      </c>
      <c r="L43" s="40" t="str">
        <f t="shared" si="6"/>
        <v>Team 6</v>
      </c>
      <c r="M43" s="39"/>
      <c r="N43" s="14">
        <f t="shared" si="7"/>
        <v>18</v>
      </c>
      <c r="O43" s="14">
        <f t="shared" si="8"/>
        <v>21</v>
      </c>
      <c r="P43" s="14">
        <f t="shared" si="9"/>
        <v>-3</v>
      </c>
    </row>
    <row r="44" spans="2:16" x14ac:dyDescent="0.15">
      <c r="B44" s="41" t="s">
        <v>31</v>
      </c>
      <c r="C44" s="41" t="s">
        <v>22</v>
      </c>
      <c r="D44" s="41" t="s">
        <v>2</v>
      </c>
      <c r="E44" s="41" t="s">
        <v>3</v>
      </c>
      <c r="F44" s="41" t="s">
        <v>114</v>
      </c>
      <c r="G44" s="41" t="s">
        <v>16</v>
      </c>
      <c r="H44" s="41" t="s">
        <v>73</v>
      </c>
      <c r="I44" s="41" t="s">
        <v>117</v>
      </c>
      <c r="J44" s="40" t="str">
        <f t="shared" si="10"/>
        <v>Amrutha + Neha</v>
      </c>
      <c r="K44" s="45" t="s">
        <v>216</v>
      </c>
      <c r="L44" s="40" t="str">
        <f t="shared" si="6"/>
        <v>Team 1</v>
      </c>
      <c r="M44" s="39"/>
      <c r="N44" s="14">
        <f t="shared" si="7"/>
        <v>21</v>
      </c>
      <c r="O44" s="14">
        <f t="shared" si="8"/>
        <v>18</v>
      </c>
      <c r="P44" s="14">
        <f t="shared" si="9"/>
        <v>3</v>
      </c>
    </row>
    <row r="45" spans="2:16" hidden="1" x14ac:dyDescent="0.15">
      <c r="B45" s="41" t="s">
        <v>34</v>
      </c>
      <c r="C45" s="41" t="s">
        <v>11</v>
      </c>
      <c r="D45" s="41" t="s">
        <v>2</v>
      </c>
      <c r="E45" s="41" t="s">
        <v>59</v>
      </c>
      <c r="F45" s="41" t="s">
        <v>60</v>
      </c>
      <c r="G45" s="41" t="s">
        <v>18</v>
      </c>
      <c r="H45" s="41" t="s">
        <v>115</v>
      </c>
      <c r="I45" s="41" t="s">
        <v>97</v>
      </c>
      <c r="J45" s="40" t="str">
        <f t="shared" si="10"/>
        <v>Saurabh</v>
      </c>
      <c r="K45" s="45" t="s">
        <v>110</v>
      </c>
      <c r="L45" s="40" t="str">
        <f t="shared" si="6"/>
        <v>Team 1</v>
      </c>
      <c r="M45" s="39"/>
      <c r="N45" s="14">
        <f t="shared" si="7"/>
        <v>21</v>
      </c>
      <c r="O45" s="14">
        <f t="shared" si="8"/>
        <v>15</v>
      </c>
      <c r="P45" s="14">
        <f t="shared" si="9"/>
        <v>6</v>
      </c>
    </row>
    <row r="46" spans="2:16" hidden="1" x14ac:dyDescent="0.15">
      <c r="B46" s="41" t="s">
        <v>34</v>
      </c>
      <c r="C46" s="41" t="s">
        <v>11</v>
      </c>
      <c r="D46" s="41" t="s">
        <v>3</v>
      </c>
      <c r="E46" s="41" t="s">
        <v>50</v>
      </c>
      <c r="F46" s="41" t="s">
        <v>111</v>
      </c>
      <c r="G46" s="41" t="s">
        <v>20</v>
      </c>
      <c r="H46" s="41" t="s">
        <v>118</v>
      </c>
      <c r="I46" s="41" t="s">
        <v>80</v>
      </c>
      <c r="J46" s="40" t="str">
        <f t="shared" si="10"/>
        <v>Kushal  + Shubham</v>
      </c>
      <c r="K46" s="45" t="s">
        <v>119</v>
      </c>
      <c r="L46" s="40" t="str">
        <f t="shared" si="6"/>
        <v>Team 2</v>
      </c>
      <c r="M46" s="39"/>
      <c r="N46" s="14">
        <f t="shared" si="7"/>
        <v>21</v>
      </c>
      <c r="O46" s="14">
        <f t="shared" si="8"/>
        <v>12</v>
      </c>
      <c r="P46" s="14">
        <f t="shared" si="9"/>
        <v>9</v>
      </c>
    </row>
    <row r="47" spans="2:16" hidden="1" x14ac:dyDescent="0.15">
      <c r="B47" s="41" t="s">
        <v>34</v>
      </c>
      <c r="C47" s="41" t="s">
        <v>11</v>
      </c>
      <c r="D47" s="41" t="s">
        <v>3</v>
      </c>
      <c r="E47" s="41" t="s">
        <v>50</v>
      </c>
      <c r="F47" s="41" t="s">
        <v>111</v>
      </c>
      <c r="G47" s="41" t="s">
        <v>19</v>
      </c>
      <c r="H47" s="41" t="s">
        <v>103</v>
      </c>
      <c r="I47" s="41" t="s">
        <v>79</v>
      </c>
      <c r="J47" s="40" t="str">
        <f t="shared" si="10"/>
        <v>Vidwan</v>
      </c>
      <c r="K47" s="45" t="s">
        <v>120</v>
      </c>
      <c r="L47" s="40" t="str">
        <f t="shared" si="6"/>
        <v>Team 5</v>
      </c>
      <c r="M47" s="39"/>
      <c r="N47" s="14">
        <f t="shared" si="7"/>
        <v>0</v>
      </c>
      <c r="O47" s="14">
        <f t="shared" si="8"/>
        <v>21</v>
      </c>
      <c r="P47" s="14">
        <f t="shared" si="9"/>
        <v>-21</v>
      </c>
    </row>
    <row r="48" spans="2:16" hidden="1" x14ac:dyDescent="0.15">
      <c r="B48" s="41" t="s">
        <v>34</v>
      </c>
      <c r="C48" s="41" t="s">
        <v>11</v>
      </c>
      <c r="D48" s="41" t="s">
        <v>2</v>
      </c>
      <c r="E48" s="41" t="s">
        <v>51</v>
      </c>
      <c r="F48" s="41" t="s">
        <v>99</v>
      </c>
      <c r="G48" s="41" t="s">
        <v>19</v>
      </c>
      <c r="H48" s="41" t="s">
        <v>70</v>
      </c>
      <c r="I48" s="41" t="s">
        <v>104</v>
      </c>
      <c r="J48" s="40" t="str">
        <f t="shared" si="10"/>
        <v>Aman Doshi</v>
      </c>
      <c r="K48" s="45" t="s">
        <v>217</v>
      </c>
      <c r="L48" s="40" t="str">
        <f t="shared" si="6"/>
        <v>Team 1</v>
      </c>
      <c r="M48" s="39"/>
      <c r="N48" s="14">
        <f t="shared" si="7"/>
        <v>21</v>
      </c>
      <c r="O48" s="14">
        <f t="shared" si="8"/>
        <v>17</v>
      </c>
      <c r="P48" s="14">
        <f t="shared" si="9"/>
        <v>4</v>
      </c>
    </row>
    <row r="49" spans="2:16" hidden="1" x14ac:dyDescent="0.15">
      <c r="B49" s="41" t="s">
        <v>34</v>
      </c>
      <c r="C49" s="41" t="s">
        <v>11</v>
      </c>
      <c r="D49" s="41" t="s">
        <v>2</v>
      </c>
      <c r="E49" s="41" t="s">
        <v>3</v>
      </c>
      <c r="F49" s="41" t="s">
        <v>114</v>
      </c>
      <c r="G49" s="41" t="s">
        <v>21</v>
      </c>
      <c r="H49" s="41" t="s">
        <v>100</v>
      </c>
      <c r="I49" s="41" t="s">
        <v>83</v>
      </c>
      <c r="J49" s="40" t="str">
        <f t="shared" si="10"/>
        <v>Yuvraj + Karthik KB</v>
      </c>
      <c r="K49" s="45" t="s">
        <v>229</v>
      </c>
      <c r="L49" s="40" t="str">
        <f t="shared" si="6"/>
        <v>Team 2</v>
      </c>
      <c r="M49" s="39"/>
      <c r="N49" s="14">
        <f t="shared" si="7"/>
        <v>8</v>
      </c>
      <c r="O49" s="14">
        <f t="shared" si="8"/>
        <v>21</v>
      </c>
      <c r="P49" s="14">
        <f t="shared" si="9"/>
        <v>-13</v>
      </c>
    </row>
    <row r="50" spans="2:16" x14ac:dyDescent="0.15">
      <c r="B50" s="41" t="s">
        <v>34</v>
      </c>
      <c r="C50" s="41" t="s">
        <v>11</v>
      </c>
      <c r="D50" s="41" t="s">
        <v>3</v>
      </c>
      <c r="E50" s="41" t="s">
        <v>51</v>
      </c>
      <c r="F50" s="41" t="s">
        <v>102</v>
      </c>
      <c r="G50" s="41" t="s">
        <v>16</v>
      </c>
      <c r="H50" s="41" t="s">
        <v>117</v>
      </c>
      <c r="I50" s="41" t="s">
        <v>89</v>
      </c>
      <c r="J50" s="40" t="str">
        <f t="shared" si="10"/>
        <v/>
      </c>
      <c r="K50" s="45"/>
      <c r="L50" s="40" t="str">
        <f t="shared" si="6"/>
        <v/>
      </c>
      <c r="M50" s="39" t="s">
        <v>227</v>
      </c>
      <c r="N50" s="14" t="str">
        <f t="shared" si="7"/>
        <v/>
      </c>
      <c r="O50" s="14" t="str">
        <f t="shared" si="8"/>
        <v/>
      </c>
      <c r="P50" s="14" t="str">
        <f t="shared" si="9"/>
        <v/>
      </c>
    </row>
    <row r="51" spans="2:16" x14ac:dyDescent="0.15">
      <c r="B51" s="41" t="s">
        <v>34</v>
      </c>
      <c r="C51" s="41" t="s">
        <v>11</v>
      </c>
      <c r="D51" s="41" t="s">
        <v>63</v>
      </c>
      <c r="E51" s="41" t="s">
        <v>59</v>
      </c>
      <c r="F51" s="41" t="s">
        <v>64</v>
      </c>
      <c r="G51" s="41" t="s">
        <v>16</v>
      </c>
      <c r="H51" s="41" t="s">
        <v>91</v>
      </c>
      <c r="I51" s="41" t="s">
        <v>74</v>
      </c>
      <c r="J51" s="40" t="str">
        <f t="shared" si="10"/>
        <v>Subashree + Sanjana</v>
      </c>
      <c r="K51" s="45" t="s">
        <v>123</v>
      </c>
      <c r="L51" s="40" t="str">
        <f t="shared" si="6"/>
        <v>Team 4</v>
      </c>
      <c r="M51" s="39"/>
      <c r="N51" s="14">
        <f t="shared" si="7"/>
        <v>16</v>
      </c>
      <c r="O51" s="14">
        <f t="shared" si="8"/>
        <v>21</v>
      </c>
      <c r="P51" s="14">
        <f t="shared" si="9"/>
        <v>-5</v>
      </c>
    </row>
    <row r="52" spans="2:16" hidden="1" x14ac:dyDescent="0.15">
      <c r="B52" s="41" t="s">
        <v>34</v>
      </c>
      <c r="C52" s="41" t="s">
        <v>22</v>
      </c>
      <c r="D52" s="41" t="s">
        <v>2</v>
      </c>
      <c r="E52" s="41" t="s">
        <v>50</v>
      </c>
      <c r="F52" s="41" t="s">
        <v>85</v>
      </c>
      <c r="G52" s="41" t="s">
        <v>17</v>
      </c>
      <c r="H52" s="41" t="s">
        <v>94</v>
      </c>
      <c r="I52" s="41" t="s">
        <v>53</v>
      </c>
      <c r="J52" s="40" t="str">
        <f t="shared" si="10"/>
        <v>Yukti + Niranjan</v>
      </c>
      <c r="K52" s="45" t="s">
        <v>125</v>
      </c>
      <c r="L52" s="40" t="str">
        <f t="shared" si="6"/>
        <v>Team 5</v>
      </c>
      <c r="M52" s="39"/>
      <c r="N52" s="14">
        <f t="shared" si="7"/>
        <v>15</v>
      </c>
      <c r="O52" s="14">
        <f t="shared" si="8"/>
        <v>21</v>
      </c>
      <c r="P52" s="14">
        <f t="shared" si="9"/>
        <v>-6</v>
      </c>
    </row>
    <row r="53" spans="2:16" hidden="1" x14ac:dyDescent="0.15">
      <c r="B53" s="41" t="s">
        <v>34</v>
      </c>
      <c r="C53" s="41" t="s">
        <v>22</v>
      </c>
      <c r="D53" s="41" t="s">
        <v>2</v>
      </c>
      <c r="E53" s="41" t="s">
        <v>50</v>
      </c>
      <c r="F53" s="41" t="s">
        <v>85</v>
      </c>
      <c r="G53" s="41" t="s">
        <v>15</v>
      </c>
      <c r="H53" s="41" t="s">
        <v>61</v>
      </c>
      <c r="I53" s="41" t="s">
        <v>56</v>
      </c>
      <c r="J53" s="40" t="str">
        <f t="shared" si="10"/>
        <v>Amrutha</v>
      </c>
      <c r="K53" s="45" t="s">
        <v>55</v>
      </c>
      <c r="L53" s="40" t="str">
        <f t="shared" si="6"/>
        <v>Team 1</v>
      </c>
      <c r="M53" s="39"/>
      <c r="N53" s="14">
        <f t="shared" si="7"/>
        <v>21</v>
      </c>
      <c r="O53" s="14">
        <f t="shared" si="8"/>
        <v>16</v>
      </c>
      <c r="P53" s="14">
        <f t="shared" si="9"/>
        <v>5</v>
      </c>
    </row>
    <row r="54" spans="2:16" hidden="1" x14ac:dyDescent="0.15">
      <c r="B54" s="41" t="s">
        <v>34</v>
      </c>
      <c r="C54" s="41" t="s">
        <v>22</v>
      </c>
      <c r="D54" s="41" t="s">
        <v>59</v>
      </c>
      <c r="E54" s="41" t="s">
        <v>51</v>
      </c>
      <c r="F54" s="41" t="s">
        <v>88</v>
      </c>
      <c r="G54" s="41" t="s">
        <v>18</v>
      </c>
      <c r="H54" s="41" t="s">
        <v>97</v>
      </c>
      <c r="I54" s="41" t="s">
        <v>105</v>
      </c>
      <c r="J54" s="40" t="str">
        <f t="shared" si="10"/>
        <v>Naman</v>
      </c>
      <c r="K54" s="45" t="s">
        <v>216</v>
      </c>
      <c r="L54" s="40" t="str">
        <f t="shared" si="6"/>
        <v>Team 4</v>
      </c>
      <c r="M54" s="39"/>
      <c r="N54" s="14">
        <f t="shared" si="7"/>
        <v>21</v>
      </c>
      <c r="O54" s="14">
        <f t="shared" si="8"/>
        <v>18</v>
      </c>
      <c r="P54" s="14">
        <f t="shared" si="9"/>
        <v>3</v>
      </c>
    </row>
    <row r="55" spans="2:16" hidden="1" x14ac:dyDescent="0.15">
      <c r="B55" s="41" t="s">
        <v>34</v>
      </c>
      <c r="C55" s="41" t="s">
        <v>22</v>
      </c>
      <c r="D55" s="41" t="s">
        <v>2</v>
      </c>
      <c r="E55" s="41" t="s">
        <v>63</v>
      </c>
      <c r="F55" s="41" t="s">
        <v>90</v>
      </c>
      <c r="G55" s="41" t="s">
        <v>21</v>
      </c>
      <c r="H55" s="41" t="s">
        <v>100</v>
      </c>
      <c r="I55" s="41" t="s">
        <v>107</v>
      </c>
      <c r="J55" s="40" t="str">
        <f t="shared" si="10"/>
        <v>Sarvesh H + Deviprasad</v>
      </c>
      <c r="K55" s="45" t="s">
        <v>214</v>
      </c>
      <c r="L55" s="40" t="str">
        <f t="shared" si="6"/>
        <v>Team 3</v>
      </c>
      <c r="M55" s="39"/>
      <c r="N55" s="14">
        <f t="shared" si="7"/>
        <v>22</v>
      </c>
      <c r="O55" s="14">
        <f t="shared" si="8"/>
        <v>24</v>
      </c>
      <c r="P55" s="14">
        <f t="shared" si="9"/>
        <v>-2</v>
      </c>
    </row>
    <row r="56" spans="2:16" hidden="1" x14ac:dyDescent="0.15">
      <c r="B56" s="41" t="s">
        <v>34</v>
      </c>
      <c r="C56" s="41" t="s">
        <v>22</v>
      </c>
      <c r="D56" s="41" t="s">
        <v>63</v>
      </c>
      <c r="E56" s="41" t="s">
        <v>59</v>
      </c>
      <c r="F56" s="41" t="s">
        <v>64</v>
      </c>
      <c r="G56" s="41" t="s">
        <v>21</v>
      </c>
      <c r="H56" s="41" t="s">
        <v>107</v>
      </c>
      <c r="I56" s="41" t="s">
        <v>84</v>
      </c>
      <c r="J56" s="40" t="str">
        <f t="shared" si="10"/>
        <v>Sarvesh H + Deviprasad</v>
      </c>
      <c r="K56" s="45" t="s">
        <v>121</v>
      </c>
      <c r="L56" s="40" t="str">
        <f t="shared" si="6"/>
        <v>Team 3</v>
      </c>
      <c r="M56" s="39"/>
      <c r="N56" s="14">
        <f t="shared" si="7"/>
        <v>22</v>
      </c>
      <c r="O56" s="14">
        <f t="shared" si="8"/>
        <v>20</v>
      </c>
      <c r="P56" s="14">
        <f t="shared" si="9"/>
        <v>2</v>
      </c>
    </row>
    <row r="57" spans="2:16" hidden="1" x14ac:dyDescent="0.15">
      <c r="B57" s="41" t="s">
        <v>34</v>
      </c>
      <c r="C57" s="41" t="s">
        <v>22</v>
      </c>
      <c r="D57" s="41" t="s">
        <v>59</v>
      </c>
      <c r="E57" s="41" t="s">
        <v>50</v>
      </c>
      <c r="F57" s="41" t="s">
        <v>75</v>
      </c>
      <c r="G57" s="41" t="s">
        <v>18</v>
      </c>
      <c r="H57" s="41" t="s">
        <v>97</v>
      </c>
      <c r="I57" s="41" t="s">
        <v>109</v>
      </c>
      <c r="J57" s="40" t="str">
        <f t="shared" si="10"/>
        <v>Pavan D</v>
      </c>
      <c r="K57" s="45" t="s">
        <v>127</v>
      </c>
      <c r="L57" s="40" t="str">
        <f t="shared" si="6"/>
        <v>Team 5</v>
      </c>
      <c r="M57" s="39"/>
      <c r="N57" s="14">
        <f t="shared" si="7"/>
        <v>14</v>
      </c>
      <c r="O57" s="14">
        <f t="shared" si="8"/>
        <v>21</v>
      </c>
      <c r="P57" s="14">
        <f t="shared" si="9"/>
        <v>-7</v>
      </c>
    </row>
    <row r="58" spans="2:16" hidden="1" x14ac:dyDescent="0.15">
      <c r="B58" s="41" t="s">
        <v>34</v>
      </c>
      <c r="C58" s="41" t="s">
        <v>22</v>
      </c>
      <c r="D58" s="41" t="s">
        <v>3</v>
      </c>
      <c r="E58" s="41" t="s">
        <v>51</v>
      </c>
      <c r="F58" s="41" t="s">
        <v>102</v>
      </c>
      <c r="G58" s="41" t="s">
        <v>17</v>
      </c>
      <c r="H58" s="41" t="s">
        <v>68</v>
      </c>
      <c r="I58" s="41" t="s">
        <v>54</v>
      </c>
      <c r="J58" s="40" t="str">
        <f t="shared" si="10"/>
        <v>Keerthana + Abhiram</v>
      </c>
      <c r="K58" s="45" t="s">
        <v>228</v>
      </c>
      <c r="L58" s="40" t="str">
        <f t="shared" si="6"/>
        <v>Team 2</v>
      </c>
      <c r="M58" s="39"/>
      <c r="N58" s="14">
        <f t="shared" si="7"/>
        <v>21</v>
      </c>
      <c r="O58" s="14">
        <f t="shared" si="8"/>
        <v>8</v>
      </c>
      <c r="P58" s="14">
        <f t="shared" si="9"/>
        <v>13</v>
      </c>
    </row>
    <row r="59" spans="2:16" x14ac:dyDescent="0.15">
      <c r="B59" s="41" t="s">
        <v>37</v>
      </c>
      <c r="C59" s="41" t="s">
        <v>11</v>
      </c>
      <c r="D59" s="41" t="s">
        <v>3</v>
      </c>
      <c r="E59" s="41" t="s">
        <v>63</v>
      </c>
      <c r="F59" s="41" t="s">
        <v>67</v>
      </c>
      <c r="G59" s="41" t="s">
        <v>16</v>
      </c>
      <c r="H59" s="41" t="s">
        <v>117</v>
      </c>
      <c r="I59" s="41" t="s">
        <v>91</v>
      </c>
      <c r="J59" s="40" t="str">
        <f t="shared" si="10"/>
        <v>Vaishnavi M + Keerthana</v>
      </c>
      <c r="K59" s="45" t="s">
        <v>106</v>
      </c>
      <c r="L59" s="40" t="str">
        <f t="shared" si="6"/>
        <v>Team 2</v>
      </c>
      <c r="M59" s="39"/>
      <c r="N59" s="14">
        <f t="shared" si="7"/>
        <v>21</v>
      </c>
      <c r="O59" s="14">
        <f t="shared" si="8"/>
        <v>14</v>
      </c>
      <c r="P59" s="14">
        <f t="shared" si="9"/>
        <v>7</v>
      </c>
    </row>
    <row r="60" spans="2:16" hidden="1" x14ac:dyDescent="0.15">
      <c r="B60" s="41" t="s">
        <v>37</v>
      </c>
      <c r="C60" s="41" t="s">
        <v>11</v>
      </c>
      <c r="D60" s="41" t="s">
        <v>3</v>
      </c>
      <c r="E60" s="41" t="s">
        <v>59</v>
      </c>
      <c r="F60" s="41" t="s">
        <v>82</v>
      </c>
      <c r="G60" s="41" t="s">
        <v>18</v>
      </c>
      <c r="H60" s="41" t="s">
        <v>98</v>
      </c>
      <c r="I60" s="41" t="s">
        <v>97</v>
      </c>
      <c r="J60" s="40" t="str">
        <f t="shared" si="10"/>
        <v>Naman</v>
      </c>
      <c r="K60" s="45" t="s">
        <v>120</v>
      </c>
      <c r="L60" s="40" t="str">
        <f t="shared" si="6"/>
        <v>Team 4</v>
      </c>
      <c r="M60" s="39"/>
      <c r="N60" s="14">
        <f t="shared" si="7"/>
        <v>0</v>
      </c>
      <c r="O60" s="14">
        <f t="shared" si="8"/>
        <v>21</v>
      </c>
      <c r="P60" s="14">
        <f t="shared" si="9"/>
        <v>-21</v>
      </c>
    </row>
    <row r="61" spans="2:16" hidden="1" x14ac:dyDescent="0.15">
      <c r="B61" s="41" t="s">
        <v>37</v>
      </c>
      <c r="C61" s="41" t="s">
        <v>11</v>
      </c>
      <c r="D61" s="41" t="s">
        <v>59</v>
      </c>
      <c r="E61" s="41" t="s">
        <v>51</v>
      </c>
      <c r="F61" s="41" t="s">
        <v>88</v>
      </c>
      <c r="G61" s="41" t="s">
        <v>17</v>
      </c>
      <c r="H61" s="41" t="s">
        <v>95</v>
      </c>
      <c r="I61" s="41" t="s">
        <v>54</v>
      </c>
      <c r="J61" s="40" t="str">
        <f t="shared" si="10"/>
        <v>Sanjana + Bharatha S</v>
      </c>
      <c r="K61" s="45" t="s">
        <v>55</v>
      </c>
      <c r="L61" s="40" t="str">
        <f t="shared" si="6"/>
        <v>Team 4</v>
      </c>
      <c r="M61" s="39"/>
      <c r="N61" s="14">
        <f t="shared" si="7"/>
        <v>21</v>
      </c>
      <c r="O61" s="14">
        <f t="shared" si="8"/>
        <v>16</v>
      </c>
      <c r="P61" s="14">
        <f t="shared" si="9"/>
        <v>5</v>
      </c>
    </row>
    <row r="62" spans="2:16" hidden="1" x14ac:dyDescent="0.15">
      <c r="B62" s="41" t="s">
        <v>37</v>
      </c>
      <c r="C62" s="41" t="s">
        <v>11</v>
      </c>
      <c r="D62" s="41" t="s">
        <v>3</v>
      </c>
      <c r="E62" s="41" t="s">
        <v>59</v>
      </c>
      <c r="F62" s="41" t="s">
        <v>82</v>
      </c>
      <c r="G62" s="41" t="s">
        <v>17</v>
      </c>
      <c r="H62" s="41" t="s">
        <v>68</v>
      </c>
      <c r="I62" s="41" t="s">
        <v>95</v>
      </c>
      <c r="J62" s="40" t="str">
        <f t="shared" si="10"/>
        <v>Keerthana + Abhiram</v>
      </c>
      <c r="K62" s="45" t="s">
        <v>110</v>
      </c>
      <c r="L62" s="40" t="str">
        <f t="shared" si="6"/>
        <v>Team 2</v>
      </c>
      <c r="M62" s="39"/>
      <c r="N62" s="14">
        <f t="shared" si="7"/>
        <v>21</v>
      </c>
      <c r="O62" s="14">
        <f t="shared" si="8"/>
        <v>15</v>
      </c>
      <c r="P62" s="14">
        <f t="shared" si="9"/>
        <v>6</v>
      </c>
    </row>
    <row r="63" spans="2:16" hidden="1" x14ac:dyDescent="0.15">
      <c r="B63" s="41" t="s">
        <v>37</v>
      </c>
      <c r="C63" s="41" t="s">
        <v>11</v>
      </c>
      <c r="D63" s="41" t="s">
        <v>3</v>
      </c>
      <c r="E63" s="41" t="s">
        <v>51</v>
      </c>
      <c r="F63" s="41" t="s">
        <v>102</v>
      </c>
      <c r="G63" s="41" t="s">
        <v>20</v>
      </c>
      <c r="H63" s="41" t="s">
        <v>118</v>
      </c>
      <c r="I63" s="41" t="s">
        <v>81</v>
      </c>
      <c r="J63" s="40" t="str">
        <f t="shared" si="10"/>
        <v>Kushal  + Shubham</v>
      </c>
      <c r="K63" s="45" t="s">
        <v>76</v>
      </c>
      <c r="L63" s="40" t="str">
        <f t="shared" si="6"/>
        <v>Team 2</v>
      </c>
      <c r="M63" s="39"/>
      <c r="N63" s="14">
        <f t="shared" si="7"/>
        <v>21</v>
      </c>
      <c r="O63" s="14">
        <f t="shared" si="8"/>
        <v>13</v>
      </c>
      <c r="P63" s="14">
        <f t="shared" si="9"/>
        <v>8</v>
      </c>
    </row>
    <row r="64" spans="2:16" hidden="1" x14ac:dyDescent="0.15">
      <c r="B64" s="41" t="s">
        <v>37</v>
      </c>
      <c r="C64" s="41" t="s">
        <v>11</v>
      </c>
      <c r="D64" s="41" t="s">
        <v>63</v>
      </c>
      <c r="E64" s="41" t="s">
        <v>59</v>
      </c>
      <c r="F64" s="41" t="s">
        <v>64</v>
      </c>
      <c r="G64" s="41" t="s">
        <v>20</v>
      </c>
      <c r="H64" s="41" t="s">
        <v>93</v>
      </c>
      <c r="I64" s="41" t="s">
        <v>116</v>
      </c>
      <c r="J64" s="40" t="str">
        <f t="shared" si="10"/>
        <v>Kunal D + Anirudha H</v>
      </c>
      <c r="K64" s="45" t="s">
        <v>66</v>
      </c>
      <c r="L64" s="40" t="str">
        <f t="shared" si="6"/>
        <v>Team 3</v>
      </c>
      <c r="M64" s="39"/>
      <c r="N64" s="14">
        <f t="shared" si="7"/>
        <v>21</v>
      </c>
      <c r="O64" s="14">
        <f t="shared" si="8"/>
        <v>19</v>
      </c>
      <c r="P64" s="14">
        <f t="shared" si="9"/>
        <v>2</v>
      </c>
    </row>
    <row r="65" spans="2:16" x14ac:dyDescent="0.15">
      <c r="B65" s="41" t="s">
        <v>37</v>
      </c>
      <c r="C65" s="41" t="s">
        <v>11</v>
      </c>
      <c r="D65" s="41" t="s">
        <v>63</v>
      </c>
      <c r="E65" s="41" t="s">
        <v>50</v>
      </c>
      <c r="F65" s="41" t="s">
        <v>77</v>
      </c>
      <c r="G65" s="41" t="s">
        <v>16</v>
      </c>
      <c r="H65" s="41" t="s">
        <v>91</v>
      </c>
      <c r="I65" s="41" t="s">
        <v>122</v>
      </c>
      <c r="J65" s="40" t="str">
        <f t="shared" si="10"/>
        <v>Mamta + Rithu</v>
      </c>
      <c r="K65" s="45" t="s">
        <v>110</v>
      </c>
      <c r="L65" s="40" t="str">
        <f t="shared" si="6"/>
        <v>Team 3</v>
      </c>
      <c r="M65" s="39"/>
      <c r="N65" s="14">
        <f t="shared" si="7"/>
        <v>21</v>
      </c>
      <c r="O65" s="14">
        <f t="shared" si="8"/>
        <v>15</v>
      </c>
      <c r="P65" s="14">
        <f t="shared" si="9"/>
        <v>6</v>
      </c>
    </row>
    <row r="66" spans="2:16" hidden="1" x14ac:dyDescent="0.15">
      <c r="B66" s="41" t="s">
        <v>37</v>
      </c>
      <c r="C66" s="41" t="s">
        <v>22</v>
      </c>
      <c r="D66" s="41" t="s">
        <v>2</v>
      </c>
      <c r="E66" s="41" t="s">
        <v>3</v>
      </c>
      <c r="F66" s="41" t="s">
        <v>114</v>
      </c>
      <c r="G66" s="41" t="s">
        <v>17</v>
      </c>
      <c r="H66" s="41" t="s">
        <v>94</v>
      </c>
      <c r="I66" s="41" t="s">
        <v>68</v>
      </c>
      <c r="J66" s="40" t="str">
        <f t="shared" si="10"/>
        <v>Keerthana + Abhiram</v>
      </c>
      <c r="K66" s="45" t="s">
        <v>123</v>
      </c>
      <c r="L66" s="40" t="str">
        <f t="shared" si="6"/>
        <v>Team 2</v>
      </c>
      <c r="M66" s="39"/>
      <c r="N66" s="14">
        <f t="shared" si="7"/>
        <v>16</v>
      </c>
      <c r="O66" s="14">
        <f t="shared" si="8"/>
        <v>21</v>
      </c>
      <c r="P66" s="14">
        <f t="shared" si="9"/>
        <v>-5</v>
      </c>
    </row>
    <row r="67" spans="2:16" hidden="1" x14ac:dyDescent="0.15">
      <c r="B67" s="41" t="s">
        <v>37</v>
      </c>
      <c r="C67" s="41" t="s">
        <v>22</v>
      </c>
      <c r="D67" s="41" t="s">
        <v>3</v>
      </c>
      <c r="E67" s="41" t="s">
        <v>50</v>
      </c>
      <c r="F67" s="41" t="s">
        <v>111</v>
      </c>
      <c r="G67" s="41" t="s">
        <v>21</v>
      </c>
      <c r="H67" s="41" t="s">
        <v>83</v>
      </c>
      <c r="I67" s="41" t="s">
        <v>108</v>
      </c>
      <c r="J67" s="40" t="str">
        <f t="shared" si="10"/>
        <v>Yuvraj + Karthik KB</v>
      </c>
      <c r="K67" s="45" t="s">
        <v>76</v>
      </c>
      <c r="L67" s="40" t="str">
        <f t="shared" ref="L67:L98" si="11">IF(K67="","",IFERROR(IF(--_xlfn.TEXTBEFORE(K67,"-")&gt;--_xlfn.TEXTAFTER(K67,"-"),D67,IF(--_xlfn.TEXTAFTER(K67,"-")&gt;--_xlfn.TEXTBEFORE(K67,"-"),E67,"Tie")),"Check score"))</f>
        <v>Team 2</v>
      </c>
      <c r="M67" s="39"/>
      <c r="N67" s="14">
        <f t="shared" ref="N67:N98" si="12">IFERROR(--_xlfn.TEXTBEFORE(K67,"-"),"")</f>
        <v>21</v>
      </c>
      <c r="O67" s="14">
        <f t="shared" ref="O67:O98" si="13">IFERROR(--_xlfn.TEXTAFTER(K67,"-"),"")</f>
        <v>13</v>
      </c>
      <c r="P67" s="14">
        <f t="shared" ref="P67:P98" si="14">IF(OR(N67="",O67=""),"",N67-O67)</f>
        <v>8</v>
      </c>
    </row>
    <row r="68" spans="2:16" hidden="1" x14ac:dyDescent="0.15">
      <c r="B68" s="41" t="s">
        <v>37</v>
      </c>
      <c r="C68" s="41" t="s">
        <v>22</v>
      </c>
      <c r="D68" s="41" t="s">
        <v>59</v>
      </c>
      <c r="E68" s="41" t="s">
        <v>50</v>
      </c>
      <c r="F68" s="41" t="s">
        <v>75</v>
      </c>
      <c r="G68" s="41" t="s">
        <v>19</v>
      </c>
      <c r="H68" s="41" t="s">
        <v>71</v>
      </c>
      <c r="I68" s="41" t="s">
        <v>79</v>
      </c>
      <c r="J68" s="40" t="str">
        <f t="shared" si="10"/>
        <v>Jay B</v>
      </c>
      <c r="K68" s="45" t="s">
        <v>76</v>
      </c>
      <c r="L68" s="40" t="str">
        <f t="shared" si="11"/>
        <v>Team 4</v>
      </c>
      <c r="M68" s="39"/>
      <c r="N68" s="14">
        <f t="shared" si="12"/>
        <v>21</v>
      </c>
      <c r="O68" s="14">
        <f t="shared" si="13"/>
        <v>13</v>
      </c>
      <c r="P68" s="14">
        <f t="shared" si="14"/>
        <v>8</v>
      </c>
    </row>
    <row r="69" spans="2:16" hidden="1" x14ac:dyDescent="0.15">
      <c r="B69" s="41" t="s">
        <v>37</v>
      </c>
      <c r="C69" s="41" t="s">
        <v>22</v>
      </c>
      <c r="D69" s="41" t="s">
        <v>2</v>
      </c>
      <c r="E69" s="41" t="s">
        <v>63</v>
      </c>
      <c r="F69" s="41" t="s">
        <v>90</v>
      </c>
      <c r="G69" s="41" t="s">
        <v>17</v>
      </c>
      <c r="H69" s="41" t="s">
        <v>94</v>
      </c>
      <c r="I69" s="41" t="s">
        <v>69</v>
      </c>
      <c r="J69" s="40" t="str">
        <f t="shared" si="10"/>
        <v>Rithu + Darshan Patel</v>
      </c>
      <c r="K69" s="45" t="s">
        <v>220</v>
      </c>
      <c r="L69" s="40" t="str">
        <f t="shared" si="11"/>
        <v>Team 3</v>
      </c>
      <c r="M69" s="39"/>
      <c r="N69" s="14">
        <f t="shared" si="12"/>
        <v>13</v>
      </c>
      <c r="O69" s="14">
        <f t="shared" si="13"/>
        <v>21</v>
      </c>
      <c r="P69" s="14">
        <f t="shared" si="14"/>
        <v>-8</v>
      </c>
    </row>
    <row r="70" spans="2:16" hidden="1" x14ac:dyDescent="0.15">
      <c r="B70" s="41" t="s">
        <v>37</v>
      </c>
      <c r="C70" s="41" t="s">
        <v>22</v>
      </c>
      <c r="D70" s="41" t="s">
        <v>3</v>
      </c>
      <c r="E70" s="41" t="s">
        <v>59</v>
      </c>
      <c r="F70" s="41" t="s">
        <v>82</v>
      </c>
      <c r="G70" s="41" t="s">
        <v>20</v>
      </c>
      <c r="H70" s="41" t="s">
        <v>118</v>
      </c>
      <c r="I70" s="41" t="s">
        <v>116</v>
      </c>
      <c r="J70" s="40" t="str">
        <f t="shared" si="10"/>
        <v>Kushal  + Shubham</v>
      </c>
      <c r="K70" s="45" t="s">
        <v>213</v>
      </c>
      <c r="L70" s="40" t="str">
        <f t="shared" si="11"/>
        <v>Team 2</v>
      </c>
      <c r="M70" s="39"/>
      <c r="N70" s="14">
        <f t="shared" si="12"/>
        <v>21</v>
      </c>
      <c r="O70" s="14">
        <f t="shared" si="13"/>
        <v>9</v>
      </c>
      <c r="P70" s="14">
        <f t="shared" si="14"/>
        <v>12</v>
      </c>
    </row>
    <row r="71" spans="2:16" x14ac:dyDescent="0.15">
      <c r="B71" s="41" t="s">
        <v>37</v>
      </c>
      <c r="C71" s="41" t="s">
        <v>22</v>
      </c>
      <c r="D71" s="41" t="s">
        <v>63</v>
      </c>
      <c r="E71" s="41" t="s">
        <v>51</v>
      </c>
      <c r="F71" s="41" t="s">
        <v>92</v>
      </c>
      <c r="G71" s="41" t="s">
        <v>16</v>
      </c>
      <c r="H71" s="41" t="s">
        <v>91</v>
      </c>
      <c r="I71" s="41" t="s">
        <v>89</v>
      </c>
      <c r="J71" s="40" t="str">
        <f t="shared" si="10"/>
        <v>Neha P Jain + Drishti</v>
      </c>
      <c r="K71" s="45" t="s">
        <v>72</v>
      </c>
      <c r="L71" s="40" t="str">
        <f t="shared" si="11"/>
        <v>Team 6</v>
      </c>
      <c r="M71" s="39"/>
      <c r="N71" s="14">
        <f t="shared" si="12"/>
        <v>11</v>
      </c>
      <c r="O71" s="14">
        <f t="shared" si="13"/>
        <v>21</v>
      </c>
      <c r="P71" s="14">
        <f t="shared" si="14"/>
        <v>-10</v>
      </c>
    </row>
    <row r="72" spans="2:16" hidden="1" x14ac:dyDescent="0.15">
      <c r="B72" s="41" t="s">
        <v>37</v>
      </c>
      <c r="C72" s="41" t="s">
        <v>22</v>
      </c>
      <c r="D72" s="41" t="s">
        <v>3</v>
      </c>
      <c r="E72" s="41" t="s">
        <v>63</v>
      </c>
      <c r="F72" s="41" t="s">
        <v>67</v>
      </c>
      <c r="G72" s="41" t="s">
        <v>15</v>
      </c>
      <c r="H72" s="41" t="s">
        <v>113</v>
      </c>
      <c r="I72" s="41" t="s">
        <v>65</v>
      </c>
      <c r="J72" s="40" t="str">
        <f t="shared" si="10"/>
        <v>Vaishnavi M</v>
      </c>
      <c r="K72" s="45" t="s">
        <v>110</v>
      </c>
      <c r="L72" s="40" t="str">
        <f t="shared" si="11"/>
        <v>Team 2</v>
      </c>
      <c r="M72" s="39"/>
      <c r="N72" s="14">
        <f t="shared" si="12"/>
        <v>21</v>
      </c>
      <c r="O72" s="14">
        <f t="shared" si="13"/>
        <v>15</v>
      </c>
      <c r="P72" s="14">
        <f t="shared" si="14"/>
        <v>6</v>
      </c>
    </row>
    <row r="73" spans="2:16" x14ac:dyDescent="0.15">
      <c r="B73" s="41" t="s">
        <v>40</v>
      </c>
      <c r="C73" s="41" t="s">
        <v>11</v>
      </c>
      <c r="D73" s="41" t="s">
        <v>3</v>
      </c>
      <c r="E73" s="41" t="s">
        <v>59</v>
      </c>
      <c r="F73" s="41" t="s">
        <v>82</v>
      </c>
      <c r="G73" s="41" t="s">
        <v>16</v>
      </c>
      <c r="H73" s="41" t="s">
        <v>117</v>
      </c>
      <c r="I73" s="41" t="s">
        <v>74</v>
      </c>
      <c r="J73" s="40" t="str">
        <f t="shared" si="10"/>
        <v>Vaishnavi M + Keerthana</v>
      </c>
      <c r="K73" s="45" t="s">
        <v>216</v>
      </c>
      <c r="L73" s="40" t="str">
        <f t="shared" si="11"/>
        <v>Team 2</v>
      </c>
      <c r="M73" s="39"/>
      <c r="N73" s="14">
        <f t="shared" si="12"/>
        <v>21</v>
      </c>
      <c r="O73" s="14">
        <f t="shared" si="13"/>
        <v>18</v>
      </c>
      <c r="P73" s="14">
        <f t="shared" si="14"/>
        <v>3</v>
      </c>
    </row>
    <row r="74" spans="2:16" hidden="1" x14ac:dyDescent="0.15">
      <c r="B74" s="41" t="s">
        <v>40</v>
      </c>
      <c r="C74" s="41" t="s">
        <v>11</v>
      </c>
      <c r="D74" s="41" t="s">
        <v>2</v>
      </c>
      <c r="E74" s="41" t="s">
        <v>3</v>
      </c>
      <c r="F74" s="41" t="s">
        <v>114</v>
      </c>
      <c r="G74" s="41" t="s">
        <v>20</v>
      </c>
      <c r="H74" s="41" t="s">
        <v>86</v>
      </c>
      <c r="I74" s="41" t="s">
        <v>118</v>
      </c>
      <c r="J74" s="40" t="str">
        <f t="shared" ref="J74:J92" si="15">IF(K74="","",IFERROR(IF(--_xlfn.TEXTBEFORE(K74,"-")&gt;--_xlfn.TEXTAFTER(K74,"-"),H74,IF(--_xlfn.TEXTAFTER(K74,"-")&gt;--_xlfn.TEXTBEFORE(K74,"-"),I74,"Tie")),"Check score"))</f>
        <v>Kushal  + Shubham</v>
      </c>
      <c r="K74" s="45" t="s">
        <v>125</v>
      </c>
      <c r="L74" s="40" t="str">
        <f t="shared" si="11"/>
        <v>Team 2</v>
      </c>
      <c r="M74" s="39"/>
      <c r="N74" s="14">
        <f t="shared" si="12"/>
        <v>15</v>
      </c>
      <c r="O74" s="14">
        <f t="shared" si="13"/>
        <v>21</v>
      </c>
      <c r="P74" s="14">
        <f t="shared" si="14"/>
        <v>-6</v>
      </c>
    </row>
    <row r="75" spans="2:16" hidden="1" x14ac:dyDescent="0.15">
      <c r="B75" s="41" t="s">
        <v>40</v>
      </c>
      <c r="C75" s="41" t="s">
        <v>11</v>
      </c>
      <c r="D75" s="41" t="s">
        <v>2</v>
      </c>
      <c r="E75" s="41" t="s">
        <v>51</v>
      </c>
      <c r="F75" s="41" t="s">
        <v>99</v>
      </c>
      <c r="G75" s="41" t="s">
        <v>20</v>
      </c>
      <c r="H75" s="41" t="s">
        <v>86</v>
      </c>
      <c r="I75" s="41" t="s">
        <v>81</v>
      </c>
      <c r="J75" s="40" t="str">
        <f t="shared" si="15"/>
        <v>Nagarajan  + Chandrashaker Joshi</v>
      </c>
      <c r="K75" s="45" t="s">
        <v>221</v>
      </c>
      <c r="L75" s="40" t="str">
        <f t="shared" si="11"/>
        <v>Team 6</v>
      </c>
      <c r="M75" s="39"/>
      <c r="N75" s="14">
        <f t="shared" si="12"/>
        <v>18</v>
      </c>
      <c r="O75" s="14">
        <f t="shared" si="13"/>
        <v>21</v>
      </c>
      <c r="P75" s="14">
        <f t="shared" si="14"/>
        <v>-3</v>
      </c>
    </row>
    <row r="76" spans="2:16" hidden="1" x14ac:dyDescent="0.15">
      <c r="B76" s="41" t="s">
        <v>40</v>
      </c>
      <c r="C76" s="41" t="s">
        <v>11</v>
      </c>
      <c r="D76" s="41" t="s">
        <v>2</v>
      </c>
      <c r="E76" s="41" t="s">
        <v>51</v>
      </c>
      <c r="F76" s="41" t="s">
        <v>99</v>
      </c>
      <c r="G76" s="41" t="s">
        <v>15</v>
      </c>
      <c r="H76" s="41" t="s">
        <v>61</v>
      </c>
      <c r="I76" s="41" t="s">
        <v>57</v>
      </c>
      <c r="J76" s="40" t="str">
        <f t="shared" si="15"/>
        <v>Neha P Jain</v>
      </c>
      <c r="K76" s="45" t="s">
        <v>220</v>
      </c>
      <c r="L76" s="40" t="str">
        <f t="shared" si="11"/>
        <v>Team 6</v>
      </c>
      <c r="M76" s="39"/>
      <c r="N76" s="14">
        <f t="shared" si="12"/>
        <v>13</v>
      </c>
      <c r="O76" s="14">
        <f t="shared" si="13"/>
        <v>21</v>
      </c>
      <c r="P76" s="14">
        <f t="shared" si="14"/>
        <v>-8</v>
      </c>
    </row>
    <row r="77" spans="2:16" hidden="1" x14ac:dyDescent="0.15">
      <c r="B77" s="41" t="s">
        <v>40</v>
      </c>
      <c r="C77" s="41" t="s">
        <v>11</v>
      </c>
      <c r="D77" s="41" t="s">
        <v>2</v>
      </c>
      <c r="E77" s="41" t="s">
        <v>63</v>
      </c>
      <c r="F77" s="41" t="s">
        <v>90</v>
      </c>
      <c r="G77" s="41" t="s">
        <v>20</v>
      </c>
      <c r="H77" s="41" t="s">
        <v>86</v>
      </c>
      <c r="I77" s="41" t="s">
        <v>93</v>
      </c>
      <c r="J77" s="40" t="str">
        <f t="shared" si="15"/>
        <v>Kunal D + Anirudha H</v>
      </c>
      <c r="K77" s="45" t="s">
        <v>123</v>
      </c>
      <c r="L77" s="40" t="str">
        <f t="shared" si="11"/>
        <v>Team 3</v>
      </c>
      <c r="M77" s="39"/>
      <c r="N77" s="14">
        <f t="shared" si="12"/>
        <v>16</v>
      </c>
      <c r="O77" s="14">
        <f t="shared" si="13"/>
        <v>21</v>
      </c>
      <c r="P77" s="14">
        <f t="shared" si="14"/>
        <v>-5</v>
      </c>
    </row>
    <row r="78" spans="2:16" x14ac:dyDescent="0.15">
      <c r="B78" s="41" t="s">
        <v>40</v>
      </c>
      <c r="C78" s="41" t="s">
        <v>11</v>
      </c>
      <c r="D78" s="41" t="s">
        <v>2</v>
      </c>
      <c r="E78" s="41" t="s">
        <v>51</v>
      </c>
      <c r="F78" s="41" t="s">
        <v>99</v>
      </c>
      <c r="G78" s="41" t="s">
        <v>16</v>
      </c>
      <c r="H78" s="41" t="s">
        <v>73</v>
      </c>
      <c r="I78" s="41" t="s">
        <v>89</v>
      </c>
      <c r="J78" s="40" t="str">
        <f t="shared" si="15"/>
        <v>Amrutha + Neha</v>
      </c>
      <c r="K78" s="45" t="s">
        <v>216</v>
      </c>
      <c r="L78" s="40" t="str">
        <f t="shared" si="11"/>
        <v>Team 1</v>
      </c>
      <c r="M78" s="39"/>
      <c r="N78" s="14">
        <f t="shared" si="12"/>
        <v>21</v>
      </c>
      <c r="O78" s="14">
        <f t="shared" si="13"/>
        <v>18</v>
      </c>
      <c r="P78" s="14">
        <f t="shared" si="14"/>
        <v>3</v>
      </c>
    </row>
    <row r="79" spans="2:16" hidden="1" x14ac:dyDescent="0.15">
      <c r="B79" s="41" t="s">
        <v>40</v>
      </c>
      <c r="C79" s="41" t="s">
        <v>11</v>
      </c>
      <c r="D79" s="41" t="s">
        <v>3</v>
      </c>
      <c r="E79" s="41" t="s">
        <v>59</v>
      </c>
      <c r="F79" s="41" t="s">
        <v>82</v>
      </c>
      <c r="G79" s="41" t="s">
        <v>15</v>
      </c>
      <c r="H79" s="41" t="s">
        <v>113</v>
      </c>
      <c r="I79" s="41" t="s">
        <v>62</v>
      </c>
      <c r="J79" s="40" t="str">
        <f t="shared" si="15"/>
        <v>Vaishnavi M</v>
      </c>
      <c r="K79" s="45" t="s">
        <v>66</v>
      </c>
      <c r="L79" s="40" t="str">
        <f t="shared" si="11"/>
        <v>Team 2</v>
      </c>
      <c r="M79" s="39"/>
      <c r="N79" s="14">
        <f t="shared" si="12"/>
        <v>21</v>
      </c>
      <c r="O79" s="14">
        <f t="shared" si="13"/>
        <v>19</v>
      </c>
      <c r="P79" s="14">
        <f t="shared" si="14"/>
        <v>2</v>
      </c>
    </row>
    <row r="80" spans="2:16" hidden="1" x14ac:dyDescent="0.15">
      <c r="B80" s="41" t="s">
        <v>40</v>
      </c>
      <c r="C80" s="41" t="s">
        <v>22</v>
      </c>
      <c r="D80" s="41" t="s">
        <v>59</v>
      </c>
      <c r="E80" s="41" t="s">
        <v>51</v>
      </c>
      <c r="F80" s="41" t="s">
        <v>88</v>
      </c>
      <c r="G80" s="41" t="s">
        <v>15</v>
      </c>
      <c r="H80" s="41" t="s">
        <v>62</v>
      </c>
      <c r="I80" s="41" t="s">
        <v>57</v>
      </c>
      <c r="J80" s="40" t="str">
        <f t="shared" si="15"/>
        <v>Neha P Jain</v>
      </c>
      <c r="K80" s="45" t="s">
        <v>124</v>
      </c>
      <c r="L80" s="40" t="str">
        <f t="shared" si="11"/>
        <v>Team 6</v>
      </c>
      <c r="M80" s="39"/>
      <c r="N80" s="14">
        <f t="shared" si="12"/>
        <v>17</v>
      </c>
      <c r="O80" s="14">
        <f t="shared" si="13"/>
        <v>21</v>
      </c>
      <c r="P80" s="14">
        <f t="shared" si="14"/>
        <v>-4</v>
      </c>
    </row>
    <row r="81" spans="2:16" hidden="1" x14ac:dyDescent="0.15">
      <c r="B81" s="41" t="s">
        <v>40</v>
      </c>
      <c r="C81" s="41" t="s">
        <v>22</v>
      </c>
      <c r="D81" s="41" t="s">
        <v>59</v>
      </c>
      <c r="E81" s="41" t="s">
        <v>51</v>
      </c>
      <c r="F81" s="41" t="s">
        <v>88</v>
      </c>
      <c r="G81" s="41" t="s">
        <v>20</v>
      </c>
      <c r="H81" s="41" t="s">
        <v>116</v>
      </c>
      <c r="I81" s="41" t="s">
        <v>81</v>
      </c>
      <c r="J81" s="40" t="str">
        <f t="shared" si="15"/>
        <v>Leela Sagar + Ali Akbar</v>
      </c>
      <c r="K81" s="45" t="s">
        <v>243</v>
      </c>
      <c r="L81" s="40" t="str">
        <f t="shared" si="11"/>
        <v>Team 4</v>
      </c>
      <c r="M81" s="39"/>
      <c r="N81" s="14">
        <f t="shared" si="12"/>
        <v>23</v>
      </c>
      <c r="O81" s="14">
        <f t="shared" si="13"/>
        <v>21</v>
      </c>
      <c r="P81" s="14">
        <f t="shared" si="14"/>
        <v>2</v>
      </c>
    </row>
    <row r="82" spans="2:16" x14ac:dyDescent="0.15">
      <c r="B82" s="41" t="s">
        <v>40</v>
      </c>
      <c r="C82" s="41" t="s">
        <v>22</v>
      </c>
      <c r="D82" s="41" t="s">
        <v>59</v>
      </c>
      <c r="E82" s="41" t="s">
        <v>50</v>
      </c>
      <c r="F82" s="41" t="s">
        <v>75</v>
      </c>
      <c r="G82" s="41" t="s">
        <v>16</v>
      </c>
      <c r="H82" s="41" t="s">
        <v>74</v>
      </c>
      <c r="I82" s="41" t="s">
        <v>122</v>
      </c>
      <c r="J82" s="40" t="str">
        <f t="shared" si="15"/>
        <v>Subashree + Sanjana</v>
      </c>
      <c r="K82" s="45" t="s">
        <v>213</v>
      </c>
      <c r="L82" s="40" t="str">
        <f t="shared" si="11"/>
        <v>Team 4</v>
      </c>
      <c r="M82" s="39"/>
      <c r="N82" s="14">
        <f t="shared" si="12"/>
        <v>21</v>
      </c>
      <c r="O82" s="14">
        <f t="shared" si="13"/>
        <v>9</v>
      </c>
      <c r="P82" s="14">
        <f t="shared" si="14"/>
        <v>12</v>
      </c>
    </row>
    <row r="83" spans="2:16" hidden="1" x14ac:dyDescent="0.15">
      <c r="B83" s="41" t="s">
        <v>40</v>
      </c>
      <c r="C83" s="41" t="s">
        <v>22</v>
      </c>
      <c r="D83" s="41" t="s">
        <v>2</v>
      </c>
      <c r="E83" s="41" t="s">
        <v>63</v>
      </c>
      <c r="F83" s="41" t="s">
        <v>90</v>
      </c>
      <c r="G83" s="41" t="s">
        <v>15</v>
      </c>
      <c r="H83" s="41" t="s">
        <v>61</v>
      </c>
      <c r="I83" s="41" t="s">
        <v>65</v>
      </c>
      <c r="J83" s="40" t="str">
        <f t="shared" si="15"/>
        <v>Amrutha</v>
      </c>
      <c r="K83" s="45" t="s">
        <v>216</v>
      </c>
      <c r="L83" s="40" t="str">
        <f t="shared" si="11"/>
        <v>Team 1</v>
      </c>
      <c r="M83" s="39"/>
      <c r="N83" s="14">
        <f t="shared" si="12"/>
        <v>21</v>
      </c>
      <c r="O83" s="14">
        <f t="shared" si="13"/>
        <v>18</v>
      </c>
      <c r="P83" s="14">
        <f t="shared" si="14"/>
        <v>3</v>
      </c>
    </row>
    <row r="84" spans="2:16" hidden="1" x14ac:dyDescent="0.15">
      <c r="B84" s="41" t="s">
        <v>40</v>
      </c>
      <c r="C84" s="41" t="s">
        <v>22</v>
      </c>
      <c r="D84" s="41" t="s">
        <v>2</v>
      </c>
      <c r="E84" s="41" t="s">
        <v>3</v>
      </c>
      <c r="F84" s="41" t="s">
        <v>114</v>
      </c>
      <c r="G84" s="41" t="s">
        <v>15</v>
      </c>
      <c r="H84" s="41" t="s">
        <v>61</v>
      </c>
      <c r="I84" s="41" t="s">
        <v>113</v>
      </c>
      <c r="J84" s="40" t="str">
        <f t="shared" si="15"/>
        <v>Vaishnavi M</v>
      </c>
      <c r="K84" s="45" t="s">
        <v>220</v>
      </c>
      <c r="L84" s="40" t="str">
        <f t="shared" si="11"/>
        <v>Team 2</v>
      </c>
      <c r="M84" s="39"/>
      <c r="N84" s="14">
        <f t="shared" si="12"/>
        <v>13</v>
      </c>
      <c r="O84" s="14">
        <f t="shared" si="13"/>
        <v>21</v>
      </c>
      <c r="P84" s="14">
        <f t="shared" si="14"/>
        <v>-8</v>
      </c>
    </row>
    <row r="85" spans="2:16" hidden="1" x14ac:dyDescent="0.15">
      <c r="B85" s="41" t="s">
        <v>40</v>
      </c>
      <c r="C85" s="41" t="s">
        <v>22</v>
      </c>
      <c r="D85" s="41" t="s">
        <v>59</v>
      </c>
      <c r="E85" s="41" t="s">
        <v>50</v>
      </c>
      <c r="F85" s="41" t="s">
        <v>75</v>
      </c>
      <c r="G85" s="41" t="s">
        <v>17</v>
      </c>
      <c r="H85" s="41" t="s">
        <v>95</v>
      </c>
      <c r="I85" s="41" t="s">
        <v>53</v>
      </c>
      <c r="J85" s="40" t="str">
        <f t="shared" si="15"/>
        <v>Sanjana + Bharatha S</v>
      </c>
      <c r="K85" s="45" t="s">
        <v>110</v>
      </c>
      <c r="L85" s="40" t="str">
        <f t="shared" si="11"/>
        <v>Team 4</v>
      </c>
      <c r="M85" s="39"/>
      <c r="N85" s="14">
        <f t="shared" si="12"/>
        <v>21</v>
      </c>
      <c r="O85" s="14">
        <f t="shared" si="13"/>
        <v>15</v>
      </c>
      <c r="P85" s="14">
        <f t="shared" si="14"/>
        <v>6</v>
      </c>
    </row>
    <row r="86" spans="2:16" hidden="1" x14ac:dyDescent="0.15">
      <c r="B86" s="41" t="s">
        <v>40</v>
      </c>
      <c r="C86" s="41" t="s">
        <v>22</v>
      </c>
      <c r="D86" s="41" t="s">
        <v>3</v>
      </c>
      <c r="E86" s="41" t="s">
        <v>51</v>
      </c>
      <c r="F86" s="41" t="s">
        <v>102</v>
      </c>
      <c r="G86" s="41" t="s">
        <v>21</v>
      </c>
      <c r="H86" s="41" t="s">
        <v>83</v>
      </c>
      <c r="I86" s="41" t="s">
        <v>101</v>
      </c>
      <c r="J86" s="40" t="str">
        <f t="shared" si="15"/>
        <v>Rohan + Bhuvanesh</v>
      </c>
      <c r="K86" s="45" t="s">
        <v>127</v>
      </c>
      <c r="L86" s="40" t="str">
        <f t="shared" si="11"/>
        <v>Team 6</v>
      </c>
      <c r="M86" s="39"/>
      <c r="N86" s="14">
        <f t="shared" si="12"/>
        <v>14</v>
      </c>
      <c r="O86" s="14">
        <f t="shared" si="13"/>
        <v>21</v>
      </c>
      <c r="P86" s="14">
        <f t="shared" si="14"/>
        <v>-7</v>
      </c>
    </row>
    <row r="87" spans="2:16" hidden="1" x14ac:dyDescent="0.15">
      <c r="B87" s="41" t="s">
        <v>43</v>
      </c>
      <c r="C87" s="41" t="s">
        <v>11</v>
      </c>
      <c r="D87" s="41" t="s">
        <v>50</v>
      </c>
      <c r="E87" s="41" t="s">
        <v>51</v>
      </c>
      <c r="F87" s="41" t="s">
        <v>52</v>
      </c>
      <c r="G87" s="41" t="s">
        <v>21</v>
      </c>
      <c r="H87" s="41" t="s">
        <v>108</v>
      </c>
      <c r="I87" s="41" t="s">
        <v>101</v>
      </c>
      <c r="J87" s="40" t="str">
        <f t="shared" si="15"/>
        <v>Rohan + Bhuvanesh</v>
      </c>
      <c r="K87" s="45" t="s">
        <v>126</v>
      </c>
      <c r="L87" s="40" t="str">
        <f t="shared" si="11"/>
        <v>Team 6</v>
      </c>
      <c r="M87" s="39"/>
      <c r="N87" s="14">
        <f t="shared" si="12"/>
        <v>4</v>
      </c>
      <c r="O87" s="14">
        <f t="shared" si="13"/>
        <v>21</v>
      </c>
      <c r="P87" s="14">
        <f t="shared" si="14"/>
        <v>-17</v>
      </c>
    </row>
    <row r="88" spans="2:16" hidden="1" x14ac:dyDescent="0.15">
      <c r="B88" s="41" t="s">
        <v>43</v>
      </c>
      <c r="C88" s="41" t="s">
        <v>11</v>
      </c>
      <c r="D88" s="41" t="s">
        <v>2</v>
      </c>
      <c r="E88" s="41" t="s">
        <v>63</v>
      </c>
      <c r="F88" s="41" t="s">
        <v>90</v>
      </c>
      <c r="G88" s="41" t="s">
        <v>19</v>
      </c>
      <c r="H88" s="41" t="s">
        <v>70</v>
      </c>
      <c r="I88" s="41" t="s">
        <v>78</v>
      </c>
      <c r="J88" s="40" t="str">
        <f t="shared" si="15"/>
        <v>Aman Doshi</v>
      </c>
      <c r="K88" s="45" t="s">
        <v>66</v>
      </c>
      <c r="L88" s="40" t="str">
        <f t="shared" si="11"/>
        <v>Team 1</v>
      </c>
      <c r="M88" s="39"/>
      <c r="N88" s="14">
        <f t="shared" si="12"/>
        <v>21</v>
      </c>
      <c r="O88" s="14">
        <f t="shared" si="13"/>
        <v>19</v>
      </c>
      <c r="P88" s="14">
        <f t="shared" si="14"/>
        <v>2</v>
      </c>
    </row>
    <row r="89" spans="2:16" x14ac:dyDescent="0.15">
      <c r="B89" s="41" t="s">
        <v>43</v>
      </c>
      <c r="C89" s="41" t="s">
        <v>11</v>
      </c>
      <c r="D89" s="41" t="s">
        <v>2</v>
      </c>
      <c r="E89" s="41" t="s">
        <v>50</v>
      </c>
      <c r="F89" s="41" t="s">
        <v>85</v>
      </c>
      <c r="G89" s="41" t="s">
        <v>16</v>
      </c>
      <c r="H89" s="41" t="s">
        <v>73</v>
      </c>
      <c r="I89" s="41" t="s">
        <v>122</v>
      </c>
      <c r="J89" s="40" t="str">
        <f t="shared" si="15"/>
        <v>Amrutha + Neha</v>
      </c>
      <c r="K89" s="45" t="s">
        <v>119</v>
      </c>
      <c r="L89" s="40" t="str">
        <f t="shared" si="11"/>
        <v>Team 1</v>
      </c>
      <c r="M89" s="39"/>
      <c r="N89" s="14">
        <f t="shared" si="12"/>
        <v>21</v>
      </c>
      <c r="O89" s="14">
        <f t="shared" si="13"/>
        <v>12</v>
      </c>
      <c r="P89" s="14">
        <f t="shared" si="14"/>
        <v>9</v>
      </c>
    </row>
    <row r="90" spans="2:16" hidden="1" x14ac:dyDescent="0.15">
      <c r="B90" s="41" t="s">
        <v>43</v>
      </c>
      <c r="C90" s="41" t="s">
        <v>11</v>
      </c>
      <c r="D90" s="41" t="s">
        <v>2</v>
      </c>
      <c r="E90" s="41" t="s">
        <v>59</v>
      </c>
      <c r="F90" s="41" t="s">
        <v>60</v>
      </c>
      <c r="G90" s="41" t="s">
        <v>21</v>
      </c>
      <c r="H90" s="41" t="s">
        <v>100</v>
      </c>
      <c r="I90" s="41" t="s">
        <v>84</v>
      </c>
      <c r="J90" s="40" t="str">
        <f t="shared" si="15"/>
        <v>Khush B + Hemanth</v>
      </c>
      <c r="K90" s="45" t="s">
        <v>72</v>
      </c>
      <c r="L90" s="40" t="str">
        <f t="shared" si="11"/>
        <v>Team 4</v>
      </c>
      <c r="M90" s="39"/>
      <c r="N90" s="14">
        <f t="shared" si="12"/>
        <v>11</v>
      </c>
      <c r="O90" s="14">
        <f t="shared" si="13"/>
        <v>21</v>
      </c>
      <c r="P90" s="14">
        <f t="shared" si="14"/>
        <v>-10</v>
      </c>
    </row>
    <row r="91" spans="2:16" hidden="1" x14ac:dyDescent="0.15">
      <c r="B91" s="41" t="s">
        <v>43</v>
      </c>
      <c r="C91" s="41" t="s">
        <v>11</v>
      </c>
      <c r="D91" s="41" t="s">
        <v>2</v>
      </c>
      <c r="E91" s="41" t="s">
        <v>51</v>
      </c>
      <c r="F91" s="41" t="s">
        <v>99</v>
      </c>
      <c r="G91" s="41" t="s">
        <v>18</v>
      </c>
      <c r="H91" s="41" t="s">
        <v>115</v>
      </c>
      <c r="I91" s="41" t="s">
        <v>105</v>
      </c>
      <c r="J91" s="40" t="str">
        <f t="shared" si="15"/>
        <v>Anshul</v>
      </c>
      <c r="K91" s="45" t="s">
        <v>72</v>
      </c>
      <c r="L91" s="40" t="str">
        <f t="shared" si="11"/>
        <v>Team 6</v>
      </c>
      <c r="M91" s="39"/>
      <c r="N91" s="14">
        <f t="shared" si="12"/>
        <v>11</v>
      </c>
      <c r="O91" s="14">
        <f t="shared" si="13"/>
        <v>21</v>
      </c>
      <c r="P91" s="14">
        <f t="shared" si="14"/>
        <v>-10</v>
      </c>
    </row>
    <row r="92" spans="2:16" hidden="1" x14ac:dyDescent="0.15">
      <c r="B92" s="41" t="s">
        <v>43</v>
      </c>
      <c r="C92" s="41" t="s">
        <v>11</v>
      </c>
      <c r="D92" s="41" t="s">
        <v>63</v>
      </c>
      <c r="E92" s="41" t="s">
        <v>50</v>
      </c>
      <c r="F92" s="41" t="s">
        <v>77</v>
      </c>
      <c r="G92" s="41" t="s">
        <v>18</v>
      </c>
      <c r="H92" s="41" t="s">
        <v>96</v>
      </c>
      <c r="I92" s="41" t="s">
        <v>109</v>
      </c>
      <c r="J92" s="40" t="str">
        <f t="shared" si="15"/>
        <v>Pavan D</v>
      </c>
      <c r="K92" s="45" t="s">
        <v>127</v>
      </c>
      <c r="L92" s="40" t="str">
        <f t="shared" si="11"/>
        <v>Team 5</v>
      </c>
      <c r="M92" s="39"/>
      <c r="N92" s="14">
        <f t="shared" si="12"/>
        <v>14</v>
      </c>
      <c r="O92" s="14">
        <f t="shared" si="13"/>
        <v>21</v>
      </c>
      <c r="P92" s="14">
        <f t="shared" si="14"/>
        <v>-7</v>
      </c>
    </row>
    <row r="93" spans="2:16" hidden="1" x14ac:dyDescent="0.15">
      <c r="B93" s="41" t="s">
        <v>43</v>
      </c>
      <c r="C93" s="41" t="s">
        <v>11</v>
      </c>
      <c r="D93" s="41" t="s">
        <v>63</v>
      </c>
      <c r="E93" s="41" t="s">
        <v>51</v>
      </c>
      <c r="F93" s="41" t="s">
        <v>92</v>
      </c>
      <c r="G93" s="41" t="s">
        <v>21</v>
      </c>
      <c r="H93" s="41" t="s">
        <v>107</v>
      </c>
      <c r="I93" s="41" t="s">
        <v>101</v>
      </c>
      <c r="J93" s="41" t="s">
        <v>101</v>
      </c>
      <c r="K93" s="46" t="s">
        <v>123</v>
      </c>
      <c r="L93" s="40" t="str">
        <f t="shared" si="11"/>
        <v>Team 6</v>
      </c>
      <c r="M93" s="39"/>
      <c r="N93" s="14">
        <f t="shared" si="12"/>
        <v>16</v>
      </c>
      <c r="O93" s="14">
        <f t="shared" si="13"/>
        <v>21</v>
      </c>
      <c r="P93" s="14">
        <f t="shared" si="14"/>
        <v>-5</v>
      </c>
    </row>
    <row r="94" spans="2:16" hidden="1" x14ac:dyDescent="0.15">
      <c r="B94" s="41" t="s">
        <v>43</v>
      </c>
      <c r="C94" s="41" t="s">
        <v>22</v>
      </c>
      <c r="D94" s="41" t="s">
        <v>2</v>
      </c>
      <c r="E94" s="41" t="s">
        <v>51</v>
      </c>
      <c r="F94" s="41" t="s">
        <v>99</v>
      </c>
      <c r="G94" s="41" t="s">
        <v>17</v>
      </c>
      <c r="H94" s="41" t="s">
        <v>94</v>
      </c>
      <c r="I94" s="41" t="s">
        <v>54</v>
      </c>
      <c r="J94" s="40" t="str">
        <f t="shared" ref="J94:J100" si="16">IF(K94="","",IFERROR(IF(--_xlfn.TEXTBEFORE(K94,"-")&gt;--_xlfn.TEXTAFTER(K94,"-"),H94,IF(--_xlfn.TEXTAFTER(K94,"-")&gt;--_xlfn.TEXTBEFORE(K94,"-"),I94,"Tie")),"Check score"))</f>
        <v>Neha + Dhruv Jaju</v>
      </c>
      <c r="K94" s="45" t="s">
        <v>112</v>
      </c>
      <c r="L94" s="40" t="str">
        <f t="shared" si="11"/>
        <v>Team 1</v>
      </c>
      <c r="M94" s="39"/>
      <c r="N94" s="14">
        <f t="shared" si="12"/>
        <v>21</v>
      </c>
      <c r="O94" s="14">
        <f t="shared" si="13"/>
        <v>7</v>
      </c>
      <c r="P94" s="14">
        <f t="shared" si="14"/>
        <v>14</v>
      </c>
    </row>
    <row r="95" spans="2:16" hidden="1" x14ac:dyDescent="0.15">
      <c r="B95" s="41" t="s">
        <v>43</v>
      </c>
      <c r="C95" s="41" t="s">
        <v>22</v>
      </c>
      <c r="D95" s="41" t="s">
        <v>3</v>
      </c>
      <c r="E95" s="41" t="s">
        <v>59</v>
      </c>
      <c r="F95" s="41" t="s">
        <v>82</v>
      </c>
      <c r="G95" s="41" t="s">
        <v>19</v>
      </c>
      <c r="H95" s="41" t="s">
        <v>103</v>
      </c>
      <c r="I95" s="41" t="s">
        <v>71</v>
      </c>
      <c r="J95" s="40" t="str">
        <f t="shared" si="16"/>
        <v>Jay B</v>
      </c>
      <c r="K95" s="45" t="s">
        <v>128</v>
      </c>
      <c r="L95" s="40" t="str">
        <f t="shared" si="11"/>
        <v>Team 4</v>
      </c>
      <c r="M95" s="39"/>
      <c r="N95" s="14">
        <f t="shared" si="12"/>
        <v>2</v>
      </c>
      <c r="O95" s="14">
        <f t="shared" si="13"/>
        <v>21</v>
      </c>
      <c r="P95" s="14">
        <f t="shared" si="14"/>
        <v>-19</v>
      </c>
    </row>
    <row r="96" spans="2:16" hidden="1" x14ac:dyDescent="0.15">
      <c r="B96" s="41" t="s">
        <v>43</v>
      </c>
      <c r="C96" s="41" t="s">
        <v>22</v>
      </c>
      <c r="D96" s="41" t="s">
        <v>3</v>
      </c>
      <c r="E96" s="41" t="s">
        <v>63</v>
      </c>
      <c r="F96" s="41" t="s">
        <v>67</v>
      </c>
      <c r="G96" s="41" t="s">
        <v>20</v>
      </c>
      <c r="H96" s="41" t="s">
        <v>118</v>
      </c>
      <c r="I96" s="41" t="s">
        <v>93</v>
      </c>
      <c r="J96" s="40" t="str">
        <f t="shared" si="16"/>
        <v>Kushal  + Shubham</v>
      </c>
      <c r="K96" s="45" t="s">
        <v>55</v>
      </c>
      <c r="L96" s="40" t="str">
        <f t="shared" si="11"/>
        <v>Team 2</v>
      </c>
      <c r="M96" s="39"/>
      <c r="N96" s="14">
        <f t="shared" si="12"/>
        <v>21</v>
      </c>
      <c r="O96" s="14">
        <f t="shared" si="13"/>
        <v>16</v>
      </c>
      <c r="P96" s="14">
        <f t="shared" si="14"/>
        <v>5</v>
      </c>
    </row>
    <row r="97" spans="2:16" hidden="1" x14ac:dyDescent="0.15">
      <c r="B97" s="41" t="s">
        <v>43</v>
      </c>
      <c r="C97" s="41" t="s">
        <v>22</v>
      </c>
      <c r="D97" s="41" t="s">
        <v>2</v>
      </c>
      <c r="E97" s="41" t="s">
        <v>50</v>
      </c>
      <c r="F97" s="41" t="s">
        <v>85</v>
      </c>
      <c r="G97" s="41" t="s">
        <v>19</v>
      </c>
      <c r="H97" s="41" t="s">
        <v>70</v>
      </c>
      <c r="I97" s="41" t="s">
        <v>79</v>
      </c>
      <c r="J97" s="40" t="str">
        <f t="shared" si="16"/>
        <v>Vidwan</v>
      </c>
      <c r="K97" s="45" t="s">
        <v>219</v>
      </c>
      <c r="L97" s="40" t="str">
        <f t="shared" si="11"/>
        <v>Team 5</v>
      </c>
      <c r="M97" s="39" t="s">
        <v>218</v>
      </c>
      <c r="N97" s="14">
        <f t="shared" si="12"/>
        <v>10</v>
      </c>
      <c r="O97" s="14">
        <f t="shared" si="13"/>
        <v>21</v>
      </c>
      <c r="P97" s="14">
        <f t="shared" si="14"/>
        <v>-11</v>
      </c>
    </row>
    <row r="98" spans="2:16" hidden="1" x14ac:dyDescent="0.15">
      <c r="B98" s="41" t="s">
        <v>43</v>
      </c>
      <c r="C98" s="41" t="s">
        <v>22</v>
      </c>
      <c r="D98" s="41" t="s">
        <v>63</v>
      </c>
      <c r="E98" s="41" t="s">
        <v>59</v>
      </c>
      <c r="F98" s="41" t="s">
        <v>64</v>
      </c>
      <c r="G98" s="41" t="s">
        <v>19</v>
      </c>
      <c r="H98" s="41" t="s">
        <v>78</v>
      </c>
      <c r="I98" s="41" t="s">
        <v>71</v>
      </c>
      <c r="J98" s="40" t="str">
        <f t="shared" si="16"/>
        <v>Jay B</v>
      </c>
      <c r="K98" s="45" t="s">
        <v>244</v>
      </c>
      <c r="L98" s="40" t="str">
        <f t="shared" si="11"/>
        <v>Team 4</v>
      </c>
      <c r="M98" s="39"/>
      <c r="N98" s="14">
        <f t="shared" si="12"/>
        <v>6</v>
      </c>
      <c r="O98" s="14">
        <f t="shared" si="13"/>
        <v>21</v>
      </c>
      <c r="P98" s="14">
        <f t="shared" si="14"/>
        <v>-15</v>
      </c>
    </row>
    <row r="99" spans="2:16" x14ac:dyDescent="0.15">
      <c r="B99" s="41" t="s">
        <v>43</v>
      </c>
      <c r="C99" s="41" t="s">
        <v>22</v>
      </c>
      <c r="D99" s="41" t="s">
        <v>3</v>
      </c>
      <c r="E99" s="41" t="s">
        <v>50</v>
      </c>
      <c r="F99" s="41" t="s">
        <v>111</v>
      </c>
      <c r="G99" s="41" t="s">
        <v>16</v>
      </c>
      <c r="H99" s="41" t="s">
        <v>117</v>
      </c>
      <c r="I99" s="41" t="s">
        <v>122</v>
      </c>
      <c r="J99" s="40" t="str">
        <f t="shared" si="16"/>
        <v>Vaishnavi M + Keerthana</v>
      </c>
      <c r="K99" s="45" t="s">
        <v>119</v>
      </c>
      <c r="L99" s="40" t="str">
        <f t="shared" ref="L99:L107" si="17">IF(K99="","",IFERROR(IF(--_xlfn.TEXTBEFORE(K99,"-")&gt;--_xlfn.TEXTAFTER(K99,"-"),D99,IF(--_xlfn.TEXTAFTER(K99,"-")&gt;--_xlfn.TEXTBEFORE(K99,"-"),E99,"Tie")),"Check score"))</f>
        <v>Team 2</v>
      </c>
      <c r="M99" s="39"/>
      <c r="N99" s="14">
        <f t="shared" ref="N99:N107" si="18">IFERROR(--_xlfn.TEXTBEFORE(K99,"-"),"")</f>
        <v>21</v>
      </c>
      <c r="O99" s="14">
        <f t="shared" ref="O99:O107" si="19">IFERROR(--_xlfn.TEXTAFTER(K99,"-"),"")</f>
        <v>12</v>
      </c>
      <c r="P99" s="14">
        <f t="shared" ref="P99:P107" si="20">IF(OR(N99="",O99=""),"",N99-O99)</f>
        <v>9</v>
      </c>
    </row>
    <row r="100" spans="2:16" hidden="1" x14ac:dyDescent="0.15">
      <c r="B100" s="41" t="s">
        <v>43</v>
      </c>
      <c r="C100" s="41" t="s">
        <v>22</v>
      </c>
      <c r="D100" s="41" t="s">
        <v>2</v>
      </c>
      <c r="E100" s="41" t="s">
        <v>3</v>
      </c>
      <c r="F100" s="41" t="s">
        <v>114</v>
      </c>
      <c r="G100" s="41" t="s">
        <v>19</v>
      </c>
      <c r="H100" s="41" t="s">
        <v>70</v>
      </c>
      <c r="I100" s="41" t="s">
        <v>103</v>
      </c>
      <c r="J100" s="40" t="str">
        <f t="shared" si="16"/>
        <v>Aman Doshi</v>
      </c>
      <c r="K100" s="45" t="s">
        <v>112</v>
      </c>
      <c r="L100" s="40" t="str">
        <f t="shared" si="17"/>
        <v>Team 1</v>
      </c>
      <c r="M100" s="39"/>
      <c r="N100" s="14">
        <f t="shared" si="18"/>
        <v>21</v>
      </c>
      <c r="O100" s="14">
        <f t="shared" si="19"/>
        <v>7</v>
      </c>
      <c r="P100" s="14">
        <f t="shared" si="20"/>
        <v>14</v>
      </c>
    </row>
    <row r="101" spans="2:16" hidden="1" x14ac:dyDescent="0.15">
      <c r="B101" s="41" t="s">
        <v>46</v>
      </c>
      <c r="C101" s="41" t="s">
        <v>11</v>
      </c>
      <c r="D101" s="41" t="s">
        <v>50</v>
      </c>
      <c r="E101" s="41" t="s">
        <v>51</v>
      </c>
      <c r="F101" s="41" t="s">
        <v>52</v>
      </c>
      <c r="G101" s="41" t="s">
        <v>19</v>
      </c>
      <c r="H101" s="41" t="s">
        <v>79</v>
      </c>
      <c r="I101" s="41" t="s">
        <v>104</v>
      </c>
      <c r="J101" s="40" t="s">
        <v>79</v>
      </c>
      <c r="K101" s="47" t="s">
        <v>211</v>
      </c>
      <c r="L101" s="40" t="str">
        <f t="shared" si="17"/>
        <v>Team 5</v>
      </c>
      <c r="M101" s="39"/>
      <c r="N101" s="14">
        <f t="shared" si="18"/>
        <v>21</v>
      </c>
      <c r="O101" s="14">
        <f t="shared" si="19"/>
        <v>8</v>
      </c>
      <c r="P101" s="14">
        <f t="shared" si="20"/>
        <v>13</v>
      </c>
    </row>
    <row r="102" spans="2:16" hidden="1" x14ac:dyDescent="0.15">
      <c r="B102" s="41" t="s">
        <v>46</v>
      </c>
      <c r="C102" s="41" t="s">
        <v>11</v>
      </c>
      <c r="D102" s="41" t="s">
        <v>63</v>
      </c>
      <c r="E102" s="41" t="s">
        <v>51</v>
      </c>
      <c r="F102" s="41" t="s">
        <v>92</v>
      </c>
      <c r="G102" s="41" t="s">
        <v>18</v>
      </c>
      <c r="H102" s="41" t="s">
        <v>96</v>
      </c>
      <c r="I102" s="41" t="s">
        <v>105</v>
      </c>
      <c r="J102" s="40" t="str">
        <f t="shared" ref="J102:J107" si="21">IF(K102="","",IFERROR(IF(--_xlfn.TEXTBEFORE(K102,"-")&gt;--_xlfn.TEXTAFTER(K102,"-"),H102,IF(--_xlfn.TEXTAFTER(K102,"-")&gt;--_xlfn.TEXTBEFORE(K102,"-"),I102,"Tie")),"Check score"))</f>
        <v>Sujal</v>
      </c>
      <c r="K102" s="45" t="s">
        <v>55</v>
      </c>
      <c r="L102" s="40" t="str">
        <f t="shared" si="17"/>
        <v>Team 3</v>
      </c>
      <c r="M102" s="39"/>
      <c r="N102" s="14">
        <f t="shared" si="18"/>
        <v>21</v>
      </c>
      <c r="O102" s="14">
        <f t="shared" si="19"/>
        <v>16</v>
      </c>
      <c r="P102" s="14">
        <f t="shared" si="20"/>
        <v>5</v>
      </c>
    </row>
    <row r="103" spans="2:16" hidden="1" x14ac:dyDescent="0.15">
      <c r="B103" s="41" t="s">
        <v>46</v>
      </c>
      <c r="C103" s="41" t="s">
        <v>11</v>
      </c>
      <c r="D103" s="41" t="s">
        <v>2</v>
      </c>
      <c r="E103" s="41" t="s">
        <v>50</v>
      </c>
      <c r="F103" s="41" t="s">
        <v>85</v>
      </c>
      <c r="G103" s="41" t="s">
        <v>18</v>
      </c>
      <c r="H103" s="41" t="s">
        <v>115</v>
      </c>
      <c r="I103" s="41" t="s">
        <v>109</v>
      </c>
      <c r="J103" s="40" t="str">
        <f t="shared" si="21"/>
        <v>Saurabh</v>
      </c>
      <c r="K103" s="45" t="s">
        <v>110</v>
      </c>
      <c r="L103" s="40" t="str">
        <f t="shared" si="17"/>
        <v>Team 1</v>
      </c>
      <c r="M103" s="39"/>
      <c r="N103" s="14">
        <f t="shared" si="18"/>
        <v>21</v>
      </c>
      <c r="O103" s="14">
        <f t="shared" si="19"/>
        <v>15</v>
      </c>
      <c r="P103" s="14">
        <f t="shared" si="20"/>
        <v>6</v>
      </c>
    </row>
    <row r="104" spans="2:16" hidden="1" x14ac:dyDescent="0.15">
      <c r="B104" s="41" t="s">
        <v>46</v>
      </c>
      <c r="C104" s="41" t="s">
        <v>11</v>
      </c>
      <c r="D104" s="41" t="s">
        <v>63</v>
      </c>
      <c r="E104" s="41" t="s">
        <v>50</v>
      </c>
      <c r="F104" s="41" t="s">
        <v>77</v>
      </c>
      <c r="G104" s="41" t="s">
        <v>17</v>
      </c>
      <c r="H104" s="41" t="s">
        <v>69</v>
      </c>
      <c r="I104" s="41" t="s">
        <v>53</v>
      </c>
      <c r="J104" s="40" t="str">
        <f t="shared" si="21"/>
        <v>Rithu + Darshan Patel</v>
      </c>
      <c r="K104" s="45" t="s">
        <v>55</v>
      </c>
      <c r="L104" s="40" t="str">
        <f t="shared" si="17"/>
        <v>Team 3</v>
      </c>
      <c r="M104" s="39"/>
      <c r="N104" s="14">
        <f t="shared" si="18"/>
        <v>21</v>
      </c>
      <c r="O104" s="14">
        <f t="shared" si="19"/>
        <v>16</v>
      </c>
      <c r="P104" s="14">
        <f t="shared" si="20"/>
        <v>5</v>
      </c>
    </row>
    <row r="105" spans="2:16" x14ac:dyDescent="0.15">
      <c r="B105" s="41" t="s">
        <v>46</v>
      </c>
      <c r="C105" s="41" t="s">
        <v>11</v>
      </c>
      <c r="D105" s="41" t="s">
        <v>50</v>
      </c>
      <c r="E105" s="41" t="s">
        <v>51</v>
      </c>
      <c r="F105" s="41" t="s">
        <v>52</v>
      </c>
      <c r="G105" s="41" t="s">
        <v>16</v>
      </c>
      <c r="H105" s="41" t="s">
        <v>122</v>
      </c>
      <c r="I105" s="41" t="s">
        <v>89</v>
      </c>
      <c r="J105" s="40" t="str">
        <f t="shared" si="21"/>
        <v>Neha P Jain + Drishti</v>
      </c>
      <c r="K105" s="45" t="s">
        <v>127</v>
      </c>
      <c r="L105" s="40" t="str">
        <f t="shared" si="17"/>
        <v>Team 6</v>
      </c>
      <c r="M105" s="39"/>
      <c r="N105" s="14">
        <f t="shared" si="18"/>
        <v>14</v>
      </c>
      <c r="O105" s="14">
        <f t="shared" si="19"/>
        <v>21</v>
      </c>
      <c r="P105" s="14">
        <f t="shared" si="20"/>
        <v>-7</v>
      </c>
    </row>
    <row r="106" spans="2:16" hidden="1" x14ac:dyDescent="0.15">
      <c r="B106" s="41" t="s">
        <v>46</v>
      </c>
      <c r="C106" s="41" t="s">
        <v>11</v>
      </c>
      <c r="D106" s="41" t="s">
        <v>63</v>
      </c>
      <c r="E106" s="41" t="s">
        <v>50</v>
      </c>
      <c r="F106" s="41" t="s">
        <v>77</v>
      </c>
      <c r="G106" s="41" t="s">
        <v>21</v>
      </c>
      <c r="H106" s="41" t="s">
        <v>107</v>
      </c>
      <c r="I106" s="41" t="s">
        <v>108</v>
      </c>
      <c r="J106" s="40" t="str">
        <f t="shared" si="21"/>
        <v>Sarvesh H + Deviprasad</v>
      </c>
      <c r="K106" s="45" t="s">
        <v>119</v>
      </c>
      <c r="L106" s="40" t="str">
        <f t="shared" si="17"/>
        <v>Team 3</v>
      </c>
      <c r="M106" s="39"/>
      <c r="N106" s="14">
        <f t="shared" si="18"/>
        <v>21</v>
      </c>
      <c r="O106" s="14">
        <f t="shared" si="19"/>
        <v>12</v>
      </c>
      <c r="P106" s="14">
        <f t="shared" si="20"/>
        <v>9</v>
      </c>
    </row>
    <row r="107" spans="2:16" hidden="1" x14ac:dyDescent="0.15">
      <c r="B107" s="41" t="s">
        <v>46</v>
      </c>
      <c r="C107" s="41" t="s">
        <v>11</v>
      </c>
      <c r="D107" s="41" t="s">
        <v>2</v>
      </c>
      <c r="E107" s="41" t="s">
        <v>63</v>
      </c>
      <c r="F107" s="41" t="s">
        <v>90</v>
      </c>
      <c r="G107" s="41" t="s">
        <v>18</v>
      </c>
      <c r="H107" s="41" t="s">
        <v>115</v>
      </c>
      <c r="I107" s="41" t="s">
        <v>96</v>
      </c>
      <c r="J107" s="40" t="str">
        <f t="shared" si="21"/>
        <v>Sujal</v>
      </c>
      <c r="K107" s="45" t="s">
        <v>125</v>
      </c>
      <c r="L107" s="40" t="str">
        <f t="shared" si="17"/>
        <v>Team 3</v>
      </c>
      <c r="M107" s="39"/>
      <c r="N107" s="14">
        <f t="shared" si="18"/>
        <v>15</v>
      </c>
      <c r="O107" s="14">
        <f t="shared" si="19"/>
        <v>21</v>
      </c>
      <c r="P107" s="14">
        <f t="shared" si="20"/>
        <v>-6</v>
      </c>
    </row>
    <row r="108" spans="2:16" x14ac:dyDescent="0.15">
      <c r="K108" s="42"/>
    </row>
    <row r="109" spans="2:16" x14ac:dyDescent="0.15">
      <c r="K109" s="42"/>
    </row>
    <row r="110" spans="2:16" x14ac:dyDescent="0.15">
      <c r="K110" s="42"/>
    </row>
    <row r="111" spans="2:16" x14ac:dyDescent="0.15">
      <c r="K111" s="42"/>
    </row>
    <row r="112" spans="2:16" x14ac:dyDescent="0.15">
      <c r="K112" s="42"/>
    </row>
  </sheetData>
  <autoFilter ref="B2:M107" xr:uid="{8D08637B-F719-49C8-8CD0-A0482E45DECD}">
    <filterColumn colId="5">
      <filters>
        <filter val="Women's Doubles"/>
      </filters>
    </filterColumn>
  </autoFilter>
  <conditionalFormatting sqref="J3:K92 K93 J94:K102 J103:J107 K103:K112">
    <cfRule type="expression" dxfId="24" priority="1">
      <formula>J3&lt;&gt;""</formula>
    </cfRule>
  </conditionalFormatting>
  <dataValidations count="2">
    <dataValidation type="list" allowBlank="1" error="Choose Participant 1 or Participant 2." prompt="Select the winning participant/pair." sqref="J3:J92 J94:J107" xr:uid="{2F6E4C2F-8D87-4413-9CDC-0C8EF874496D}">
      <formula1>$H3:$I3</formula1>
    </dataValidation>
    <dataValidation allowBlank="1" showInputMessage="1" showErrorMessage="1" errorTitle="Invalid score" error="Enter two non-negative numbers separated by a hyphen, for example 21-15." promptTitle="Enter match score" prompt="Use Team 1-Team 2 format, for example 21-15." sqref="K3:K112" xr:uid="{0AC25D45-D64B-4D27-A975-6081CC99955E}"/>
  </dataValidations>
  <pageMargins left="0.25" right="0.25" top="0.75" bottom="0.75" header="0.3" footer="0.3"/>
  <pageSetup paperSize="9"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D2BA-66E2-4573-A467-B2371B4E5824}">
  <dimension ref="A1:L18"/>
  <sheetViews>
    <sheetView topLeftCell="A4" workbookViewId="0">
      <selection sqref="A1:L1"/>
    </sheetView>
  </sheetViews>
  <sheetFormatPr baseColWidth="10" defaultColWidth="8.83203125" defaultRowHeight="15" x14ac:dyDescent="0.2"/>
  <cols>
    <col min="1" max="1" width="21.6640625" bestFit="1" customWidth="1"/>
    <col min="2" max="2" width="15.1640625" bestFit="1" customWidth="1"/>
    <col min="3" max="3" width="16" customWidth="1"/>
    <col min="4" max="4" width="13.1640625" bestFit="1" customWidth="1"/>
    <col min="5" max="6" width="13.5" bestFit="1" customWidth="1"/>
    <col min="7" max="8" width="14.5" bestFit="1" customWidth="1"/>
    <col min="9" max="9" width="10.5" bestFit="1" customWidth="1"/>
    <col min="10" max="10" width="9.5" bestFit="1" customWidth="1"/>
    <col min="11" max="11" width="5.1640625" bestFit="1" customWidth="1"/>
    <col min="12" max="12" width="11.33203125" bestFit="1" customWidth="1"/>
  </cols>
  <sheetData>
    <row r="1" spans="1:12" ht="24" x14ac:dyDescent="0.2">
      <c r="A1" s="62" t="s">
        <v>129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34" customHeight="1" x14ac:dyDescent="0.2">
      <c r="A2" s="63" t="s">
        <v>240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8" x14ac:dyDescent="0.2">
      <c r="A3" s="5" t="s">
        <v>130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">
      <c r="A4" s="6" t="s">
        <v>131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132</v>
      </c>
      <c r="J4" s="6" t="s">
        <v>236</v>
      </c>
      <c r="K4" s="6" t="s">
        <v>134</v>
      </c>
      <c r="L4" s="6" t="s">
        <v>135</v>
      </c>
    </row>
    <row r="5" spans="1:12" x14ac:dyDescent="0.2">
      <c r="A5" s="4" t="s">
        <v>2</v>
      </c>
      <c r="B5" s="11">
        <f>'Points Table'!D16</f>
        <v>4</v>
      </c>
      <c r="C5" s="11">
        <f>'Points Table'!D26</f>
        <v>10</v>
      </c>
      <c r="D5" s="11">
        <f>'Points Table'!D36</f>
        <v>4</v>
      </c>
      <c r="E5" s="11">
        <f>'Points Table'!D46</f>
        <v>6</v>
      </c>
      <c r="F5" s="11">
        <f>'Points Table'!D56</f>
        <v>6</v>
      </c>
      <c r="G5" s="11">
        <f>'Points Table'!D66</f>
        <v>2</v>
      </c>
      <c r="H5" s="11">
        <f>'Points Table'!D76</f>
        <v>2</v>
      </c>
      <c r="I5" s="12">
        <f>SUM(B5:H5)</f>
        <v>34</v>
      </c>
      <c r="J5" s="55">
        <f>'Points Table'!G6</f>
        <v>-17</v>
      </c>
      <c r="K5" s="12">
        <f>1+COUNTIF($I$5:$I$10,"&gt;"&amp;I5)+COUNTIFS($I$5:$I$10,I5,$J$5:$J$10,"&gt;"&amp;J5)+COUNTIFS($I$5:$I$10,I5,$J$5:$J$10,J5,$A$5:$A$10,"&lt;"&amp;A5)</f>
        <v>5</v>
      </c>
      <c r="L5" s="3" t="str">
        <f>IF(COUNTA('Shuffled Matches'!$K$3:$K$107)=0,"Pending",IF(K5&lt;=4,"Qualified","Not Qualified"))</f>
        <v>Not Qualified</v>
      </c>
    </row>
    <row r="6" spans="1:12" x14ac:dyDescent="0.2">
      <c r="A6" s="4" t="s">
        <v>3</v>
      </c>
      <c r="B6" s="11">
        <f>'Points Table'!D17</f>
        <v>8</v>
      </c>
      <c r="C6" s="11">
        <f>'Points Table'!D27</f>
        <v>6</v>
      </c>
      <c r="D6" s="11">
        <f>'Points Table'!D37</f>
        <v>8</v>
      </c>
      <c r="E6" s="11">
        <f>'Points Table'!D47</f>
        <v>0</v>
      </c>
      <c r="F6" s="11">
        <f>'Points Table'!D57</f>
        <v>0</v>
      </c>
      <c r="G6" s="11">
        <f>'Points Table'!D67</f>
        <v>10</v>
      </c>
      <c r="H6" s="11">
        <f>'Points Table'!D77</f>
        <v>6</v>
      </c>
      <c r="I6" s="12">
        <f t="shared" ref="I6:I10" si="0">SUM(B6:H6)</f>
        <v>38</v>
      </c>
      <c r="J6" s="55">
        <f>'Points Table'!G7</f>
        <v>-33</v>
      </c>
      <c r="K6" s="12">
        <f t="shared" ref="K6:K10" si="1">1+COUNTIF($I$5:$I$10,"&gt;"&amp;I6)+COUNTIFS($I$5:$I$10,I6,$J$5:$J$10,"&gt;"&amp;J6)+COUNTIFS($I$5:$I$10,I6,$J$5:$J$10,J6,$A$5:$A$10,"&lt;"&amp;A6)</f>
        <v>3</v>
      </c>
      <c r="L6" s="3" t="str">
        <f>IF(COUNTA('Shuffled Matches'!$K$3:$K$107)=0,"Pending",IF(K6&lt;=4,"Qualified","Not Qualified"))</f>
        <v>Qualified</v>
      </c>
    </row>
    <row r="7" spans="1:12" x14ac:dyDescent="0.2">
      <c r="A7" s="4" t="s">
        <v>63</v>
      </c>
      <c r="B7" s="11">
        <f>'Points Table'!D18</f>
        <v>4</v>
      </c>
      <c r="C7" s="11">
        <f>'Points Table'!D28</f>
        <v>2</v>
      </c>
      <c r="D7" s="11">
        <f>'Points Table'!D38</f>
        <v>10</v>
      </c>
      <c r="E7" s="11">
        <f>'Points Table'!D48</f>
        <v>8</v>
      </c>
      <c r="F7" s="11">
        <f>'Points Table'!D58</f>
        <v>2</v>
      </c>
      <c r="G7" s="11">
        <f>'Points Table'!D68</f>
        <v>8</v>
      </c>
      <c r="H7" s="11">
        <f>'Points Table'!D78</f>
        <v>8</v>
      </c>
      <c r="I7" s="12">
        <f t="shared" si="0"/>
        <v>42</v>
      </c>
      <c r="J7" s="55">
        <f>'Points Table'!G8</f>
        <v>21</v>
      </c>
      <c r="K7" s="12">
        <f t="shared" si="1"/>
        <v>1</v>
      </c>
      <c r="L7" s="3" t="str">
        <f>IF(COUNTA('Shuffled Matches'!$K$3:$K$107)=0,"Pending",IF(K7&lt;=4,"Qualified","Not Qualified"))</f>
        <v>Qualified</v>
      </c>
    </row>
    <row r="8" spans="1:12" x14ac:dyDescent="0.2">
      <c r="A8" s="4" t="s">
        <v>59</v>
      </c>
      <c r="B8" s="11">
        <f>'Points Table'!D19</f>
        <v>4</v>
      </c>
      <c r="C8" s="11">
        <f>'Points Table'!D29</f>
        <v>6</v>
      </c>
      <c r="D8" s="11">
        <f>'Points Table'!D39</f>
        <v>4</v>
      </c>
      <c r="E8" s="11">
        <f>'Points Table'!D49</f>
        <v>4</v>
      </c>
      <c r="F8" s="11">
        <f>'Points Table'!D59</f>
        <v>10</v>
      </c>
      <c r="G8" s="11">
        <f>'Points Table'!D69</f>
        <v>6</v>
      </c>
      <c r="H8" s="11">
        <f>'Points Table'!D79</f>
        <v>4</v>
      </c>
      <c r="I8" s="12">
        <f t="shared" si="0"/>
        <v>38</v>
      </c>
      <c r="J8" s="55">
        <f>'Points Table'!G9</f>
        <v>113</v>
      </c>
      <c r="K8" s="12">
        <f t="shared" si="1"/>
        <v>2</v>
      </c>
      <c r="L8" s="3" t="str">
        <f>IF(COUNTA('Shuffled Matches'!$K$3:$K$107)=0,"Pending",IF(K8&lt;=4,"Qualified","Not Qualified"))</f>
        <v>Qualified</v>
      </c>
    </row>
    <row r="9" spans="1:12" x14ac:dyDescent="0.2">
      <c r="A9" s="4" t="s">
        <v>50</v>
      </c>
      <c r="B9" s="11">
        <f>'Points Table'!D20</f>
        <v>0</v>
      </c>
      <c r="C9" s="11">
        <f>'Points Table'!D30</f>
        <v>0</v>
      </c>
      <c r="D9" s="11">
        <f>'Points Table'!D40</f>
        <v>4</v>
      </c>
      <c r="E9" s="11">
        <f>'Points Table'!D50</f>
        <v>8</v>
      </c>
      <c r="F9" s="11">
        <f>'Points Table'!D60</f>
        <v>8</v>
      </c>
      <c r="G9" s="11">
        <f>'Points Table'!D70</f>
        <v>0</v>
      </c>
      <c r="H9" s="11">
        <f>'Points Table'!D80</f>
        <v>0</v>
      </c>
      <c r="I9" s="12">
        <f t="shared" si="0"/>
        <v>20</v>
      </c>
      <c r="J9" s="55">
        <f>'Points Table'!G10</f>
        <v>-123</v>
      </c>
      <c r="K9" s="12">
        <f t="shared" si="1"/>
        <v>6</v>
      </c>
      <c r="L9" s="3" t="str">
        <f>IF(COUNTA('Shuffled Matches'!$K$3:$K$107)=0,"Pending",IF(K9&lt;=4,"Qualified","Not Qualified"))</f>
        <v>Not Qualified</v>
      </c>
    </row>
    <row r="10" spans="1:12" x14ac:dyDescent="0.2">
      <c r="A10" s="4" t="s">
        <v>51</v>
      </c>
      <c r="B10" s="11">
        <f>'Points Table'!D21</f>
        <v>10</v>
      </c>
      <c r="C10" s="11">
        <f>'Points Table'!D31</f>
        <v>4</v>
      </c>
      <c r="D10" s="11">
        <f>'Points Table'!D41</f>
        <v>0</v>
      </c>
      <c r="E10" s="11">
        <f>'Points Table'!D51</f>
        <v>4</v>
      </c>
      <c r="F10" s="11">
        <f>'Points Table'!D61</f>
        <v>4</v>
      </c>
      <c r="G10" s="11">
        <f>'Points Table'!D71</f>
        <v>4</v>
      </c>
      <c r="H10" s="11">
        <f>'Points Table'!D81</f>
        <v>8</v>
      </c>
      <c r="I10" s="12">
        <f t="shared" si="0"/>
        <v>34</v>
      </c>
      <c r="J10" s="55">
        <f>'Points Table'!G11</f>
        <v>39</v>
      </c>
      <c r="K10" s="12">
        <f t="shared" si="1"/>
        <v>4</v>
      </c>
      <c r="L10" s="3" t="str">
        <f>IF(COUNTA('Shuffled Matches'!$K$3:$K$107)=0,"Pending",IF(K10&lt;=4,"Qualified","Not Qualified"))</f>
        <v>Qualified</v>
      </c>
    </row>
    <row r="11" spans="1:12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8" x14ac:dyDescent="0.2">
      <c r="A13" s="5" t="s">
        <v>136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</row>
    <row r="14" spans="1:12" x14ac:dyDescent="0.2">
      <c r="A14" s="7" t="s">
        <v>134</v>
      </c>
      <c r="B14" s="7" t="s">
        <v>131</v>
      </c>
      <c r="C14" s="7" t="s">
        <v>132</v>
      </c>
      <c r="D14" s="7" t="s">
        <v>236</v>
      </c>
      <c r="E14" s="3"/>
      <c r="F14" s="3"/>
      <c r="G14" s="3"/>
      <c r="H14" s="3"/>
      <c r="I14" s="3"/>
      <c r="J14" s="3"/>
      <c r="K14" s="3"/>
      <c r="L14" s="3"/>
    </row>
    <row r="15" spans="1:12" x14ac:dyDescent="0.2">
      <c r="A15" s="8">
        <v>1</v>
      </c>
      <c r="B15" s="10" t="str">
        <f>IF(COUNTA('Shuffled Matches'!$K$3:$K$107)=0,"",_xlfn.XLOOKUP(A15,$K$5:$K$10,$A$5:$A$10,""))</f>
        <v>Team 3</v>
      </c>
      <c r="C15" s="9">
        <f>IF(B15="","",_xlfn.XLOOKUP(A15,$K$5:$K$10,$I$5:$I$10,""))</f>
        <v>42</v>
      </c>
      <c r="D15" s="56">
        <f>IF(B15="","",_xlfn.XLOOKUP(A15,$K$5:$K$10,$J$5:$J$10,""))</f>
        <v>21</v>
      </c>
      <c r="E15" s="3"/>
      <c r="F15" s="3"/>
      <c r="G15" s="3"/>
      <c r="H15" s="3"/>
      <c r="I15" s="3"/>
      <c r="J15" s="3"/>
      <c r="K15" s="3"/>
      <c r="L15" s="3"/>
    </row>
    <row r="16" spans="1:12" x14ac:dyDescent="0.2">
      <c r="A16" s="8">
        <v>2</v>
      </c>
      <c r="B16" s="10" t="str">
        <f>IF(COUNTA('Shuffled Matches'!$K$3:$K$107)=0,"",_xlfn.XLOOKUP(A16,$K$5:$K$10,$A$5:$A$10,""))</f>
        <v>Team 4</v>
      </c>
      <c r="C16" s="9">
        <f t="shared" ref="C16:C18" si="2">IF(B16="","",_xlfn.XLOOKUP(A16,$K$5:$K$10,$I$5:$I$10,""))</f>
        <v>38</v>
      </c>
      <c r="D16" s="56">
        <f t="shared" ref="D16:D18" si="3">IF(B16="","",_xlfn.XLOOKUP(A16,$K$5:$K$10,$J$5:$J$10,""))</f>
        <v>113</v>
      </c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8">
        <v>3</v>
      </c>
      <c r="B17" s="10" t="str">
        <f>IF(COUNTA('Shuffled Matches'!$K$3:$K$107)=0,"",_xlfn.XLOOKUP(A17,$K$5:$K$10,$A$5:$A$10,""))</f>
        <v>Team 2</v>
      </c>
      <c r="C17" s="9">
        <f t="shared" si="2"/>
        <v>38</v>
      </c>
      <c r="D17" s="56">
        <f t="shared" si="3"/>
        <v>-33</v>
      </c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8">
        <v>4</v>
      </c>
      <c r="B18" s="10" t="str">
        <f>IF(COUNTA('Shuffled Matches'!$K$3:$K$107)=0,"",_xlfn.XLOOKUP(A18,$K$5:$K$10,$A$5:$A$10,""))</f>
        <v>Team 6</v>
      </c>
      <c r="C18" s="9">
        <f t="shared" si="2"/>
        <v>34</v>
      </c>
      <c r="D18" s="56">
        <f t="shared" si="3"/>
        <v>39</v>
      </c>
      <c r="E18" s="3"/>
      <c r="F18" s="3"/>
      <c r="G18" s="3"/>
      <c r="H18" s="3"/>
      <c r="I18" s="3"/>
      <c r="J18" s="3"/>
      <c r="K18" s="3"/>
      <c r="L18" s="3"/>
    </row>
  </sheetData>
  <mergeCells count="2">
    <mergeCell ref="A1:L1"/>
    <mergeCell ref="A2:L2"/>
  </mergeCells>
  <conditionalFormatting sqref="L5:L10">
    <cfRule type="expression" dxfId="23" priority="1">
      <formula>L5="Qualified"</formula>
    </cfRule>
    <cfRule type="expression" dxfId="22" priority="2">
      <formula>L5="Not Qualified"</formula>
    </cfRule>
    <cfRule type="expression" dxfId="21" priority="3">
      <formula>L5="Pending"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4D3B-3905-4287-A120-83F138B0B077}">
  <dimension ref="B2:M97"/>
  <sheetViews>
    <sheetView showGridLines="0" topLeftCell="A59" zoomScale="125" zoomScaleNormal="82" workbookViewId="0">
      <selection activeCell="D22" sqref="D22"/>
    </sheetView>
  </sheetViews>
  <sheetFormatPr baseColWidth="10" defaultColWidth="8.6640625" defaultRowHeight="12" x14ac:dyDescent="0.15"/>
  <cols>
    <col min="1" max="1" width="3.6640625" style="14" customWidth="1"/>
    <col min="2" max="2" width="26.1640625" style="14" customWidth="1"/>
    <col min="3" max="3" width="6.33203125" style="14" bestFit="1" customWidth="1"/>
    <col min="4" max="4" width="9.33203125" style="14" bestFit="1" customWidth="1"/>
    <col min="5" max="5" width="5.1640625" style="14" bestFit="1" customWidth="1"/>
    <col min="6" max="6" width="9.83203125" style="14" bestFit="1" customWidth="1"/>
    <col min="7" max="7" width="3.33203125" style="14" customWidth="1"/>
    <col min="8" max="8" width="5.1640625" style="14" bestFit="1" customWidth="1"/>
    <col min="9" max="9" width="10.5" style="14" bestFit="1" customWidth="1"/>
    <col min="10" max="10" width="6.33203125" style="14" bestFit="1" customWidth="1"/>
    <col min="11" max="11" width="9.33203125" style="14" bestFit="1" customWidth="1"/>
    <col min="12" max="12" width="15.5" style="14" hidden="1" customWidth="1"/>
    <col min="13" max="16384" width="8.6640625" style="14"/>
  </cols>
  <sheetData>
    <row r="2" spans="2:12" x14ac:dyDescent="0.15">
      <c r="B2" s="64" t="s">
        <v>137</v>
      </c>
      <c r="C2" s="64"/>
      <c r="D2" s="64"/>
      <c r="E2" s="64"/>
      <c r="F2" s="64"/>
      <c r="G2" s="64"/>
      <c r="H2" s="64"/>
      <c r="I2" s="64"/>
      <c r="J2" s="64"/>
      <c r="K2" s="64"/>
      <c r="L2" s="18"/>
    </row>
    <row r="3" spans="2:12" x14ac:dyDescent="0.15">
      <c r="B3" s="37" t="s">
        <v>241</v>
      </c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2:12" x14ac:dyDescent="0.15">
      <c r="B4" s="16" t="s">
        <v>131</v>
      </c>
      <c r="C4" s="16" t="s">
        <v>138</v>
      </c>
      <c r="D4" s="16" t="s">
        <v>236</v>
      </c>
      <c r="E4" s="16" t="s">
        <v>134</v>
      </c>
      <c r="F4" s="16" t="s">
        <v>135</v>
      </c>
      <c r="G4" s="17"/>
      <c r="H4" s="18" t="s">
        <v>134</v>
      </c>
      <c r="I4" s="18" t="s">
        <v>139</v>
      </c>
      <c r="J4" s="18" t="s">
        <v>138</v>
      </c>
      <c r="K4" s="18" t="s">
        <v>236</v>
      </c>
      <c r="L4" s="17" t="s">
        <v>133</v>
      </c>
    </row>
    <row r="5" spans="2:12" x14ac:dyDescent="0.15">
      <c r="B5" s="19" t="s">
        <v>2</v>
      </c>
      <c r="C5" s="20">
        <f>'Points Table'!D16</f>
        <v>4</v>
      </c>
      <c r="D5" s="52">
        <f>'Points Table'!G16</f>
        <v>-22</v>
      </c>
      <c r="E5" s="20">
        <f t="shared" ref="E5:E10" si="0">1+COUNTIF($C$5:$C$10,"&gt;"&amp;C5)+COUNTIFS($C$5:$C$10,C5,$D$5:$D$10,"&gt;"&amp;D5)+COUNTIFS($C$5:$C$10,C5,$D$5:$D$10,D5,$B$5:$B$10,"&lt;"&amp;B5)</f>
        <v>5</v>
      </c>
      <c r="F5" s="17" t="str">
        <f>IF(COUNTIFS('Shuffled Matches'!$G$3:$G$107,"Women's Singles",'Shuffled Matches'!$K$3:$K$107,"&lt;&gt;")=0,"Pending",IF(E5&lt;=4,"Top 4","Eliminated"))</f>
        <v>Eliminated</v>
      </c>
      <c r="G5" s="17"/>
      <c r="H5" s="21">
        <v>1</v>
      </c>
      <c r="I5" s="22" t="str">
        <f>IF(COUNTIFS('Shuffled Matches'!$G$3:$G$107,"Women's Singles",'Shuffled Matches'!$K$3:$K$107,"&lt;&gt;")=0,"",_xlfn.XLOOKUP(H5,$E$5:$E$10,$B$5:$B$10,""))</f>
        <v>Team 6</v>
      </c>
      <c r="J5" s="21">
        <f>IF(I5="","",_xlfn.XLOOKUP(H5,$E$5:$E$10,$C$5:$C$10,""))</f>
        <v>10</v>
      </c>
      <c r="K5" s="53">
        <f>IF(I5="","",_xlfn.XLOOKUP(H5,$E$5:$E$10,$D$5:$D$10,""))</f>
        <v>51</v>
      </c>
      <c r="L5" s="17">
        <f>'Points Table'!E16</f>
        <v>75</v>
      </c>
    </row>
    <row r="6" spans="2:12" x14ac:dyDescent="0.15">
      <c r="B6" s="19" t="s">
        <v>3</v>
      </c>
      <c r="C6" s="20">
        <f>'Points Table'!D17</f>
        <v>8</v>
      </c>
      <c r="D6" s="52">
        <f>'Points Table'!G17</f>
        <v>8</v>
      </c>
      <c r="E6" s="20">
        <f t="shared" si="0"/>
        <v>2</v>
      </c>
      <c r="F6" s="17" t="str">
        <f>IF(COUNTIFS('Shuffled Matches'!$G$3:$G$107,"Women's Singles",'Shuffled Matches'!$K$3:$K$107,"&lt;&gt;")=0,"Pending",IF(E6&lt;=4,"Top 4","Eliminated"))</f>
        <v>Top 4</v>
      </c>
      <c r="G6" s="17"/>
      <c r="H6" s="21">
        <v>2</v>
      </c>
      <c r="I6" s="22" t="str">
        <f>IF(COUNTIFS('Shuffled Matches'!$G$3:$G$107,"Women's Singles",'Shuffled Matches'!$K$3:$K$107,"&lt;&gt;")=0,"",_xlfn.XLOOKUP(H6,$E$5:$E$10,$B$5:$B$10,""))</f>
        <v>Team 2</v>
      </c>
      <c r="J6" s="21">
        <f>IF(I6="","",_xlfn.XLOOKUP(H6,$E$5:$E$10,$C$5:$C$10,""))</f>
        <v>8</v>
      </c>
      <c r="K6" s="53">
        <f>IF(I6="","",_xlfn.XLOOKUP(H6,$E$5:$E$10,$D$5:$D$10,""))</f>
        <v>8</v>
      </c>
      <c r="L6" s="17">
        <f>'Points Table'!E17</f>
        <v>90</v>
      </c>
    </row>
    <row r="7" spans="2:12" x14ac:dyDescent="0.15">
      <c r="B7" s="19" t="s">
        <v>63</v>
      </c>
      <c r="C7" s="20">
        <f>'Points Table'!D18</f>
        <v>4</v>
      </c>
      <c r="D7" s="52">
        <f>'Points Table'!G18</f>
        <v>-8</v>
      </c>
      <c r="E7" s="20">
        <f t="shared" si="0"/>
        <v>4</v>
      </c>
      <c r="F7" s="17" t="str">
        <f>IF(COUNTIFS('Shuffled Matches'!$G$3:$G$107,"Women's Singles",'Shuffled Matches'!$K$3:$K$107,"&lt;&gt;")=0,"Pending",IF(E7&lt;=4,"Top 4","Eliminated"))</f>
        <v>Top 4</v>
      </c>
      <c r="G7" s="17"/>
      <c r="H7" s="21">
        <v>3</v>
      </c>
      <c r="I7" s="22" t="str">
        <f>IF(COUNTIFS('Shuffled Matches'!$G$3:$G$107,"Women's Singles",'Shuffled Matches'!$K$3:$K$107,"&lt;&gt;")=0,"",_xlfn.XLOOKUP(H7,$E$5:$E$10,$B$5:$B$10,""))</f>
        <v>Team 4</v>
      </c>
      <c r="J7" s="21">
        <f>IF(I7="","",_xlfn.XLOOKUP(H7,$E$5:$E$10,$C$5:$C$10,""))</f>
        <v>4</v>
      </c>
      <c r="K7" s="53">
        <f>IF(I7="","",_xlfn.XLOOKUP(H7,$E$5:$E$10,$D$5:$D$10,""))</f>
        <v>14</v>
      </c>
      <c r="L7" s="17">
        <f>'Points Table'!E18</f>
        <v>86</v>
      </c>
    </row>
    <row r="8" spans="2:12" x14ac:dyDescent="0.15">
      <c r="B8" s="19" t="s">
        <v>59</v>
      </c>
      <c r="C8" s="20">
        <f>'Points Table'!D19</f>
        <v>4</v>
      </c>
      <c r="D8" s="52">
        <f>'Points Table'!G19</f>
        <v>14</v>
      </c>
      <c r="E8" s="20">
        <f t="shared" si="0"/>
        <v>3</v>
      </c>
      <c r="F8" s="17" t="str">
        <f>IF(COUNTIFS('Shuffled Matches'!$G$3:$G$107,"Women's Singles",'Shuffled Matches'!$K$3:$K$107,"&lt;&gt;")=0,"Pending",IF(E8&lt;=4,"Top 4","Eliminated"))</f>
        <v>Top 4</v>
      </c>
      <c r="G8" s="17"/>
      <c r="H8" s="21">
        <v>4</v>
      </c>
      <c r="I8" s="22" t="str">
        <f>IF(COUNTIFS('Shuffled Matches'!$G$3:$G$107,"Women's Singles",'Shuffled Matches'!$K$3:$K$107,"&lt;&gt;")=0,"",_xlfn.XLOOKUP(H8,$E$5:$E$10,$B$5:$B$10,""))</f>
        <v>Team 3</v>
      </c>
      <c r="J8" s="21">
        <f>IF(I8="","",_xlfn.XLOOKUP(H8,$E$5:$E$10,$C$5:$C$10,""))</f>
        <v>4</v>
      </c>
      <c r="K8" s="53">
        <f>IF(I8="","",_xlfn.XLOOKUP(H8,$E$5:$E$10,$D$5:$D$10,""))</f>
        <v>-8</v>
      </c>
      <c r="L8" s="17">
        <f>'Points Table'!E19</f>
        <v>97</v>
      </c>
    </row>
    <row r="9" spans="2:12" x14ac:dyDescent="0.15">
      <c r="B9" s="19" t="s">
        <v>50</v>
      </c>
      <c r="C9" s="20">
        <f>'Points Table'!D20</f>
        <v>0</v>
      </c>
      <c r="D9" s="52">
        <f>'Points Table'!G20</f>
        <v>-43</v>
      </c>
      <c r="E9" s="20">
        <f t="shared" si="0"/>
        <v>6</v>
      </c>
      <c r="F9" s="17" t="str">
        <f>IF(COUNTIFS('Shuffled Matches'!$G$3:$G$107,"Women's Singles",'Shuffled Matches'!$K$3:$K$107,"&lt;&gt;")=0,"Pending",IF(E9&lt;=4,"Top 4","Eliminated"))</f>
        <v>Eliminated</v>
      </c>
      <c r="G9" s="17"/>
      <c r="H9" s="17"/>
      <c r="I9" s="17"/>
      <c r="J9" s="17"/>
      <c r="K9" s="17"/>
      <c r="L9" s="17">
        <f>'Points Table'!E20</f>
        <v>62</v>
      </c>
    </row>
    <row r="10" spans="2:12" x14ac:dyDescent="0.15">
      <c r="B10" s="19" t="s">
        <v>51</v>
      </c>
      <c r="C10" s="20">
        <f>'Points Table'!D21</f>
        <v>10</v>
      </c>
      <c r="D10" s="52">
        <f>'Points Table'!G21</f>
        <v>51</v>
      </c>
      <c r="E10" s="20">
        <f t="shared" si="0"/>
        <v>1</v>
      </c>
      <c r="F10" s="17" t="str">
        <f>IF(COUNTIFS('Shuffled Matches'!$G$3:$G$107,"Women's Singles",'Shuffled Matches'!$K$3:$K$107,"&lt;&gt;")=0,"Pending",IF(E10&lt;=4,"Top 4","Eliminated"))</f>
        <v>Top 4</v>
      </c>
      <c r="G10" s="17"/>
      <c r="H10" s="17"/>
      <c r="I10" s="17"/>
      <c r="J10" s="17"/>
      <c r="K10" s="17"/>
      <c r="L10" s="17">
        <f>'Points Table'!E21</f>
        <v>105</v>
      </c>
    </row>
    <row r="11" spans="2:12" x14ac:dyDescent="0.15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2:12" x14ac:dyDescent="0.15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2:12" x14ac:dyDescent="0.15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2:12" x14ac:dyDescent="0.15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2:12" x14ac:dyDescent="0.15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2:12" x14ac:dyDescent="0.15">
      <c r="B16" s="64" t="s">
        <v>140</v>
      </c>
      <c r="C16" s="64"/>
      <c r="D16" s="64"/>
      <c r="E16" s="64"/>
      <c r="F16" s="64"/>
      <c r="G16" s="64"/>
      <c r="H16" s="64"/>
      <c r="I16" s="64"/>
      <c r="J16" s="64"/>
      <c r="K16" s="64"/>
      <c r="L16" s="18"/>
    </row>
    <row r="17" spans="2:13" x14ac:dyDescent="0.15">
      <c r="B17" s="37" t="s">
        <v>241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spans="2:13" x14ac:dyDescent="0.15">
      <c r="B18" s="16" t="s">
        <v>131</v>
      </c>
      <c r="C18" s="16" t="s">
        <v>138</v>
      </c>
      <c r="D18" s="16" t="s">
        <v>236</v>
      </c>
      <c r="E18" s="16" t="s">
        <v>134</v>
      </c>
      <c r="F18" s="16" t="s">
        <v>135</v>
      </c>
      <c r="G18" s="17"/>
      <c r="H18" s="18" t="s">
        <v>134</v>
      </c>
      <c r="I18" s="18" t="s">
        <v>139</v>
      </c>
      <c r="J18" s="18" t="s">
        <v>138</v>
      </c>
      <c r="K18" s="18" t="s">
        <v>236</v>
      </c>
      <c r="L18" s="17" t="s">
        <v>133</v>
      </c>
    </row>
    <row r="19" spans="2:13" x14ac:dyDescent="0.15">
      <c r="B19" s="19" t="s">
        <v>2</v>
      </c>
      <c r="C19" s="20">
        <f>'Points Table'!D26</f>
        <v>10</v>
      </c>
      <c r="D19" s="52">
        <f>'Points Table'!G26</f>
        <v>29</v>
      </c>
      <c r="E19" s="20">
        <f t="shared" ref="E19:E24" si="1">1+COUNTIF($C$19:$C$24,"&gt;"&amp;C19)+COUNTIFS($C$19:$C$24,C19,$D$19:$D$24,"&gt;"&amp;D19)+COUNTIFS($C$19:$C$24,C19,$D$19:$D$24,D19,$B$19:$B$24,"&lt;"&amp;B19)</f>
        <v>1</v>
      </c>
      <c r="F19" s="17" t="str">
        <f>IF(COUNTIFS('Shuffled Matches'!$G$3:$G$107,"Women's Doubles",'Shuffled Matches'!$K$3:$K$107,"&lt;&gt;")=0,"Pending",IF(E19&lt;=4,"Top 4","Eliminated"))</f>
        <v>Top 4</v>
      </c>
      <c r="G19" s="17"/>
      <c r="H19" s="21">
        <v>1</v>
      </c>
      <c r="I19" s="22" t="str">
        <f>IF(COUNTIFS('Shuffled Matches'!$G$3:$G$107,"Women's Doubles",'Shuffled Matches'!$K$3:$K$107,"&lt;&gt;")=0,"",_xlfn.XLOOKUP(H19,$E$19:$E$24,$B$19:$B$24,""))</f>
        <v>Team 1</v>
      </c>
      <c r="J19" s="21">
        <f>IF(I19="","",_xlfn.XLOOKUP(H19,$E$19:$E$24,$C$19:$C$24,""))</f>
        <v>10</v>
      </c>
      <c r="K19" s="53">
        <f>IF(I19="","",_xlfn.XLOOKUP(H19,$E$19:$E$24,$D$19:$D$24,""))</f>
        <v>29</v>
      </c>
      <c r="L19" s="17">
        <f>'Points Table'!E26</f>
        <v>105</v>
      </c>
    </row>
    <row r="20" spans="2:13" x14ac:dyDescent="0.15">
      <c r="B20" s="19" t="s">
        <v>3</v>
      </c>
      <c r="C20" s="20">
        <f>'Points Table'!D27</f>
        <v>6</v>
      </c>
      <c r="D20" s="52">
        <f>'Points Table'!G27</f>
        <v>16</v>
      </c>
      <c r="E20" s="57">
        <f t="shared" si="1"/>
        <v>3</v>
      </c>
      <c r="F20" s="19" t="str">
        <f>IF(COUNTIFS('Shuffled Matches'!$G$3:$G$107,"Women's Doubles",'Shuffled Matches'!$K$3:$K$107,"&lt;&gt;")=0,"Pending",IF(E20&lt;=4,"Top 4","Eliminated"))</f>
        <v>Top 4</v>
      </c>
      <c r="G20" s="17"/>
      <c r="H20" s="21">
        <v>2</v>
      </c>
      <c r="I20" s="22" t="str">
        <f>IF(COUNTIFS('Shuffled Matches'!$G$3:$G$107,"Women's Doubles",'Shuffled Matches'!$K$3:$K$107,"&lt;&gt;")=0,"",_xlfn.XLOOKUP(H20,$E$19:$E$24,$B$19:$B$24,""))</f>
        <v>Team 4</v>
      </c>
      <c r="J20" s="21">
        <f>IF(I20="","",_xlfn.XLOOKUP(H20,$E$19:$E$24,$C$19:$C$24,""))</f>
        <v>6</v>
      </c>
      <c r="K20" s="53">
        <f>IF(I20="","",_xlfn.XLOOKUP(H20,$E$19:$E$24,$D$19:$D$24,""))</f>
        <v>18</v>
      </c>
      <c r="L20" s="17">
        <f>'Points Table'!E27</f>
        <v>81</v>
      </c>
    </row>
    <row r="21" spans="2:13" x14ac:dyDescent="0.15">
      <c r="B21" s="19" t="s">
        <v>63</v>
      </c>
      <c r="C21" s="20">
        <f>'Points Table'!D28</f>
        <v>2</v>
      </c>
      <c r="D21" s="52">
        <f>'Points Table'!G28</f>
        <v>-24</v>
      </c>
      <c r="E21" s="57">
        <f t="shared" si="1"/>
        <v>5</v>
      </c>
      <c r="F21" s="19" t="str">
        <f>IF(COUNTIFS('Shuffled Matches'!$G$3:$G$107,"Women's Doubles",'Shuffled Matches'!$K$3:$K$107,"&lt;&gt;")=0,"Pending",IF(E21&lt;=4,"Top 4","Eliminated"))</f>
        <v>Eliminated</v>
      </c>
      <c r="G21" s="17"/>
      <c r="H21" s="21">
        <v>3</v>
      </c>
      <c r="I21" s="22" t="str">
        <f>IF(COUNTIFS('Shuffled Matches'!$G$3:$G$107,"Women's Doubles",'Shuffled Matches'!$K$3:$K$107,"&lt;&gt;")=0,"",_xlfn.XLOOKUP(H21,$E$19:$E$24,$B$19:$B$24,""))</f>
        <v>Team 2</v>
      </c>
      <c r="J21" s="21">
        <f>IF(I21="","",_xlfn.XLOOKUP(H21,$E$19:$E$24,$C$19:$C$24,""))</f>
        <v>6</v>
      </c>
      <c r="K21" s="53">
        <f>IF(I21="","",_xlfn.XLOOKUP(H21,$E$19:$E$24,$D$19:$D$24,""))</f>
        <v>16</v>
      </c>
      <c r="L21" s="17">
        <f>'Points Table'!E28</f>
        <v>75</v>
      </c>
      <c r="M21" s="59"/>
    </row>
    <row r="22" spans="2:13" x14ac:dyDescent="0.15">
      <c r="B22" s="19" t="s">
        <v>59</v>
      </c>
      <c r="C22" s="20">
        <f>'Points Table'!D29</f>
        <v>6</v>
      </c>
      <c r="D22" s="52">
        <f>'Points Table'!G29</f>
        <v>18</v>
      </c>
      <c r="E22" s="20">
        <f t="shared" si="1"/>
        <v>2</v>
      </c>
      <c r="F22" s="17" t="str">
        <f>IF(COUNTIFS('Shuffled Matches'!$G$3:$G$107,"Women's Doubles",'Shuffled Matches'!$K$3:$K$107,"&lt;&gt;")=0,"Pending",IF(E22&lt;=4,"Top 4","Eliminated"))</f>
        <v>Top 4</v>
      </c>
      <c r="G22" s="17"/>
      <c r="H22" s="21">
        <v>4</v>
      </c>
      <c r="I22" s="22" t="str">
        <f>IF(COUNTIFS('Shuffled Matches'!$G$3:$G$107,"Women's Doubles",'Shuffled Matches'!$K$3:$K$107,"&lt;&gt;")=0,"",_xlfn.XLOOKUP(H22,$E$19:$E$24,$B$19:$B$24,""))</f>
        <v>Team 6</v>
      </c>
      <c r="J22" s="21">
        <f>IF(I22="","",_xlfn.XLOOKUP(H22,$E$19:$E$24,$C$19:$C$24,""))</f>
        <v>4</v>
      </c>
      <c r="K22" s="53">
        <f>IF(I22="","",_xlfn.XLOOKUP(H22,$E$19:$E$24,$D$19:$D$24,""))</f>
        <v>4</v>
      </c>
      <c r="L22" s="17">
        <f>'Points Table'!E29</f>
        <v>96</v>
      </c>
    </row>
    <row r="23" spans="2:13" x14ac:dyDescent="0.15">
      <c r="B23" s="19" t="s">
        <v>50</v>
      </c>
      <c r="C23" s="20">
        <f>'Points Table'!D30</f>
        <v>0</v>
      </c>
      <c r="D23" s="52">
        <f>'Points Table'!G30</f>
        <v>-43</v>
      </c>
      <c r="E23" s="20">
        <f t="shared" si="1"/>
        <v>6</v>
      </c>
      <c r="F23" s="17" t="str">
        <f>IF(COUNTIFS('Shuffled Matches'!$G$3:$G$107,"Women's Doubles",'Shuffled Matches'!$K$3:$K$107,"&lt;&gt;")=0,"Pending",IF(E23&lt;=4,"Top 4","Eliminated"))</f>
        <v>Eliminated</v>
      </c>
      <c r="G23" s="17"/>
      <c r="H23" s="17"/>
      <c r="I23" s="17"/>
      <c r="J23" s="17"/>
      <c r="K23" s="17"/>
      <c r="L23" s="17">
        <f>'Points Table'!E30</f>
        <v>62</v>
      </c>
    </row>
    <row r="24" spans="2:13" x14ac:dyDescent="0.15">
      <c r="B24" s="19" t="s">
        <v>51</v>
      </c>
      <c r="C24" s="20">
        <f>'Points Table'!D31</f>
        <v>4</v>
      </c>
      <c r="D24" s="52">
        <f>'Points Table'!G31</f>
        <v>4</v>
      </c>
      <c r="E24" s="20">
        <f t="shared" si="1"/>
        <v>4</v>
      </c>
      <c r="F24" s="17" t="str">
        <f>IF(COUNTIFS('Shuffled Matches'!$G$3:$G$107,"Women's Doubles",'Shuffled Matches'!$K$3:$K$107,"&lt;&gt;")=0,"Pending",IF(E24&lt;=4,"Top 4","Eliminated"))</f>
        <v>Top 4</v>
      </c>
      <c r="G24" s="17"/>
      <c r="H24" s="17"/>
      <c r="I24" s="17"/>
      <c r="J24" s="17"/>
      <c r="K24" s="17"/>
      <c r="L24" s="17">
        <f>'Points Table'!E31</f>
        <v>71</v>
      </c>
    </row>
    <row r="25" spans="2:13" x14ac:dyDescent="0.15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2:13" x14ac:dyDescent="0.15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2:13" x14ac:dyDescent="0.15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2:13" x14ac:dyDescent="0.15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2:13" x14ac:dyDescent="0.15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2:13" x14ac:dyDescent="0.15">
      <c r="B30" s="64" t="s">
        <v>141</v>
      </c>
      <c r="C30" s="64"/>
      <c r="D30" s="64"/>
      <c r="E30" s="64"/>
      <c r="F30" s="64"/>
      <c r="G30" s="64"/>
      <c r="H30" s="64"/>
      <c r="I30" s="64"/>
      <c r="J30" s="64"/>
      <c r="K30" s="64"/>
      <c r="L30" s="18"/>
    </row>
    <row r="31" spans="2:13" x14ac:dyDescent="0.15">
      <c r="B31" s="37" t="s">
        <v>241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spans="2:13" x14ac:dyDescent="0.15">
      <c r="B32" s="16" t="s">
        <v>131</v>
      </c>
      <c r="C32" s="16" t="s">
        <v>138</v>
      </c>
      <c r="D32" s="16" t="s">
        <v>236</v>
      </c>
      <c r="E32" s="16" t="s">
        <v>134</v>
      </c>
      <c r="F32" s="16" t="s">
        <v>135</v>
      </c>
      <c r="G32" s="17"/>
      <c r="H32" s="18" t="s">
        <v>134</v>
      </c>
      <c r="I32" s="18" t="s">
        <v>139</v>
      </c>
      <c r="J32" s="18" t="s">
        <v>138</v>
      </c>
      <c r="K32" s="18" t="s">
        <v>236</v>
      </c>
      <c r="L32" s="17" t="s">
        <v>133</v>
      </c>
    </row>
    <row r="33" spans="2:12" x14ac:dyDescent="0.15">
      <c r="B33" s="19" t="s">
        <v>2</v>
      </c>
      <c r="C33" s="20">
        <f>'Points Table'!D36</f>
        <v>4</v>
      </c>
      <c r="D33" s="52">
        <f>'Points Table'!G36</f>
        <v>-1</v>
      </c>
      <c r="E33" s="57">
        <f t="shared" ref="E33:E38" si="2">1+COUNTIF($C$33:$C$38,"&gt;"&amp;C33)+COUNTIFS($C$33:$C$38,C33,$D$33:$D$38,"&gt;"&amp;D33)+COUNTIFS($C$33:$C$38,C33,$D$33:$D$38,D33,$B$33:$B$38,"&lt;"&amp;B33)</f>
        <v>3</v>
      </c>
      <c r="F33" s="17" t="str">
        <f>IF(COUNTIFS('Shuffled Matches'!$G$3:$G$107,"Mixed Doubles",'Shuffled Matches'!$K$3:$K$107,"&lt;&gt;")=0,"Pending",IF(E33&lt;=4,"Top 4","Eliminated"))</f>
        <v>Top 4</v>
      </c>
      <c r="G33" s="17"/>
      <c r="H33" s="21">
        <v>1</v>
      </c>
      <c r="I33" s="22" t="str">
        <f>IF(COUNTIFS('Shuffled Matches'!$G$3:$G$107,"Mixed Doubles",'Shuffled Matches'!$K$3:$K$107,"&lt;&gt;")=0,"",_xlfn.XLOOKUP(H33,$E$33:$E$38,$B$33:$B$38,""))</f>
        <v>Team 3</v>
      </c>
      <c r="J33" s="21">
        <f>IF(I33="","",_xlfn.XLOOKUP(H33,$E$33:$E$38,$C$33:$C$38,""))</f>
        <v>10</v>
      </c>
      <c r="K33" s="53">
        <f>IF(I33="","",_xlfn.XLOOKUP(H33,$E$33:$E$38,$D$33:$D$38,""))</f>
        <v>30</v>
      </c>
      <c r="L33" s="17">
        <f>'Points Table'!E36</f>
        <v>86</v>
      </c>
    </row>
    <row r="34" spans="2:12" x14ac:dyDescent="0.15">
      <c r="B34" s="19" t="s">
        <v>3</v>
      </c>
      <c r="C34" s="20">
        <f>'Points Table'!D37</f>
        <v>8</v>
      </c>
      <c r="D34" s="52">
        <f>'Points Table'!G37</f>
        <v>29</v>
      </c>
      <c r="E34" s="20">
        <f t="shared" si="2"/>
        <v>2</v>
      </c>
      <c r="F34" s="17" t="str">
        <f>IF(COUNTIFS('Shuffled Matches'!$G$3:$G$107,"Mixed Doubles",'Shuffled Matches'!$K$3:$K$107,"&lt;&gt;")=0,"Pending",IF(E34&lt;=4,"Top 4","Eliminated"))</f>
        <v>Top 4</v>
      </c>
      <c r="G34" s="17"/>
      <c r="H34" s="21">
        <v>2</v>
      </c>
      <c r="I34" s="22" t="str">
        <f>IF(COUNTIFS('Shuffled Matches'!$G$3:$G$107,"Mixed Doubles",'Shuffled Matches'!$K$3:$K$107,"&lt;&gt;")=0,"",_xlfn.XLOOKUP(H34,$E$33:$E$38,$B$33:$B$38,""))</f>
        <v>Team 2</v>
      </c>
      <c r="J34" s="21">
        <f>IF(I34="","",_xlfn.XLOOKUP(H34,$E$33:$E$38,$C$33:$C$38,""))</f>
        <v>8</v>
      </c>
      <c r="K34" s="53">
        <f>IF(I34="","",_xlfn.XLOOKUP(H34,$E$33:$E$38,$D$33:$D$38,""))</f>
        <v>29</v>
      </c>
      <c r="L34" s="17">
        <f>'Points Table'!E37</f>
        <v>100</v>
      </c>
    </row>
    <row r="35" spans="2:12" x14ac:dyDescent="0.15">
      <c r="B35" s="19" t="s">
        <v>63</v>
      </c>
      <c r="C35" s="20">
        <f>'Points Table'!D38</f>
        <v>10</v>
      </c>
      <c r="D35" s="52">
        <f>'Points Table'!G38</f>
        <v>30</v>
      </c>
      <c r="E35" s="20">
        <f t="shared" si="2"/>
        <v>1</v>
      </c>
      <c r="F35" s="17" t="str">
        <f>IF(COUNTIFS('Shuffled Matches'!$G$3:$G$107,"Mixed Doubles",'Shuffled Matches'!$K$3:$K$107,"&lt;&gt;")=0,"Pending",IF(E35&lt;=4,"Top 4","Eliminated"))</f>
        <v>Top 4</v>
      </c>
      <c r="G35" s="17"/>
      <c r="H35" s="21">
        <v>3</v>
      </c>
      <c r="I35" s="22" t="str">
        <f>IF(COUNTIFS('Shuffled Matches'!$G$3:$G$107,"Mixed Doubles",'Shuffled Matches'!$K$3:$K$107,"&lt;&gt;")=0,"",_xlfn.XLOOKUP(H35,$E$33:$E$38,$B$33:$B$38,""))</f>
        <v>Team 1</v>
      </c>
      <c r="J35" s="21">
        <f>IF(I35="","",_xlfn.XLOOKUP(H35,$E$33:$E$38,$C$33:$C$38,""))</f>
        <v>4</v>
      </c>
      <c r="K35" s="53">
        <f>IF(I35="","",_xlfn.XLOOKUP(H35,$E$33:$E$38,$D$33:$D$38,""))</f>
        <v>-1</v>
      </c>
      <c r="L35" s="17">
        <f>'Points Table'!E38</f>
        <v>105</v>
      </c>
    </row>
    <row r="36" spans="2:12" x14ac:dyDescent="0.15">
      <c r="B36" s="19" t="s">
        <v>59</v>
      </c>
      <c r="C36" s="20">
        <f>'Points Table'!D39</f>
        <v>4</v>
      </c>
      <c r="D36" s="52">
        <f>'Points Table'!G39</f>
        <v>-4</v>
      </c>
      <c r="E36" s="57">
        <f t="shared" si="2"/>
        <v>4</v>
      </c>
      <c r="F36" s="17" t="str">
        <f>IF(COUNTIFS('Shuffled Matches'!$G$3:$G$107,"Mixed Doubles",'Shuffled Matches'!$K$3:$K$107,"&lt;&gt;")=0,"Pending",IF(E36&lt;=4,"Top 4","Eliminated"))</f>
        <v>Top 4</v>
      </c>
      <c r="G36" s="17"/>
      <c r="H36" s="21">
        <v>4</v>
      </c>
      <c r="I36" s="22" t="str">
        <f>IF(COUNTIFS('Shuffled Matches'!$G$3:$G$107,"Mixed Doubles",'Shuffled Matches'!$K$3:$K$107,"&lt;&gt;")=0,"",_xlfn.XLOOKUP(H36,$E$33:$E$38,$B$33:$B$38,""))</f>
        <v>Team 4</v>
      </c>
      <c r="J36" s="21">
        <f>IF(I36="","",_xlfn.XLOOKUP(H36,$E$33:$E$38,$C$33:$C$38,""))</f>
        <v>4</v>
      </c>
      <c r="K36" s="53">
        <f>IF(I36="","",_xlfn.XLOOKUP(H36,$E$33:$E$38,$D$33:$D$38,""))</f>
        <v>-4</v>
      </c>
      <c r="L36" s="17">
        <f>'Points Table'!E39</f>
        <v>90</v>
      </c>
    </row>
    <row r="37" spans="2:12" x14ac:dyDescent="0.15">
      <c r="B37" s="19" t="s">
        <v>50</v>
      </c>
      <c r="C37" s="20">
        <f>'Points Table'!D40</f>
        <v>4</v>
      </c>
      <c r="D37" s="52">
        <f>'Points Table'!G40</f>
        <v>-10</v>
      </c>
      <c r="E37" s="20">
        <f t="shared" si="2"/>
        <v>5</v>
      </c>
      <c r="F37" s="17" t="str">
        <f>IF(COUNTIFS('Shuffled Matches'!$G$3:$G$107,"Mixed Doubles",'Shuffled Matches'!$K$3:$K$107,"&lt;&gt;")=0,"Pending",IF(E37&lt;=4,"Top 4","Eliminated"))</f>
        <v>Eliminated</v>
      </c>
      <c r="G37" s="17"/>
      <c r="H37" s="17"/>
      <c r="I37" s="17"/>
      <c r="J37" s="17"/>
      <c r="K37" s="17"/>
      <c r="L37" s="17">
        <f>'Points Table'!E40</f>
        <v>84</v>
      </c>
    </row>
    <row r="38" spans="2:12" x14ac:dyDescent="0.15">
      <c r="B38" s="19" t="s">
        <v>51</v>
      </c>
      <c r="C38" s="20">
        <f>'Points Table'!D41</f>
        <v>0</v>
      </c>
      <c r="D38" s="52">
        <f>'Points Table'!G41</f>
        <v>-44</v>
      </c>
      <c r="E38" s="20">
        <f t="shared" si="2"/>
        <v>6</v>
      </c>
      <c r="F38" s="17" t="str">
        <f>IF(COUNTIFS('Shuffled Matches'!$G$3:$G$107,"Mixed Doubles",'Shuffled Matches'!$K$3:$K$107,"&lt;&gt;")=0,"Pending",IF(E38&lt;=4,"Top 4","Eliminated"))</f>
        <v>Eliminated</v>
      </c>
      <c r="G38" s="17"/>
      <c r="H38" s="17"/>
      <c r="I38" s="17"/>
      <c r="J38" s="17"/>
      <c r="K38" s="17"/>
      <c r="L38" s="17">
        <f>'Points Table'!E41</f>
        <v>61</v>
      </c>
    </row>
    <row r="39" spans="2:12" x14ac:dyDescent="0.15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2:12" x14ac:dyDescent="0.15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2:12" x14ac:dyDescent="0.15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2:12" x14ac:dyDescent="0.15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2:12" x14ac:dyDescent="0.15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2:12" x14ac:dyDescent="0.15">
      <c r="B44" s="64" t="s">
        <v>142</v>
      </c>
      <c r="C44" s="64"/>
      <c r="D44" s="64"/>
      <c r="E44" s="64"/>
      <c r="F44" s="64"/>
      <c r="G44" s="64"/>
      <c r="H44" s="64"/>
      <c r="I44" s="64"/>
      <c r="J44" s="64"/>
      <c r="K44" s="64"/>
      <c r="L44" s="18"/>
    </row>
    <row r="45" spans="2:12" x14ac:dyDescent="0.15">
      <c r="B45" s="37" t="s">
        <v>241</v>
      </c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spans="2:12" x14ac:dyDescent="0.15">
      <c r="B46" s="16" t="s">
        <v>131</v>
      </c>
      <c r="C46" s="16" t="s">
        <v>138</v>
      </c>
      <c r="D46" s="16" t="s">
        <v>236</v>
      </c>
      <c r="E46" s="16" t="s">
        <v>134</v>
      </c>
      <c r="F46" s="16" t="s">
        <v>135</v>
      </c>
      <c r="G46" s="17"/>
      <c r="H46" s="18" t="s">
        <v>134</v>
      </c>
      <c r="I46" s="18" t="s">
        <v>139</v>
      </c>
      <c r="J46" s="18" t="s">
        <v>138</v>
      </c>
      <c r="K46" s="18" t="s">
        <v>236</v>
      </c>
      <c r="L46" s="17" t="s">
        <v>133</v>
      </c>
    </row>
    <row r="47" spans="2:12" x14ac:dyDescent="0.15">
      <c r="B47" s="19" t="s">
        <v>2</v>
      </c>
      <c r="C47" s="20">
        <f>'Points Table'!D46</f>
        <v>6</v>
      </c>
      <c r="D47" s="52">
        <f>'Points Table'!G46</f>
        <v>3</v>
      </c>
      <c r="E47" s="20">
        <f t="shared" ref="E47:E52" si="3">1+COUNTIF($C$47:$C$52,"&gt;"&amp;C47)+COUNTIFS($C$47:$C$52,C47,$D$47:$D$52,"&gt;"&amp;D47)+COUNTIFS($C$47:$C$52,C47,$D$47:$D$52,D47,$B$47:$B$52,"&lt;"&amp;B47)</f>
        <v>3</v>
      </c>
      <c r="F47" s="17" t="str">
        <f>IF(COUNTIFS('Shuffled Matches'!$G$3:$G$107,"Men's Singles 1",'Shuffled Matches'!$K$3:$K$107,"&lt;&gt;")=0,"Pending",IF(E47&lt;=4,"Top 4","Eliminated"))</f>
        <v>Top 4</v>
      </c>
      <c r="G47" s="17"/>
      <c r="H47" s="21">
        <v>1</v>
      </c>
      <c r="I47" s="22" t="str">
        <f>IF(COUNTIFS('Shuffled Matches'!$G$3:$G$107,"Men's Singles 1",'Shuffled Matches'!$K$3:$K$107,"&lt;&gt;")=0,"",_xlfn.XLOOKUP(H47,$E$47:$E$52,$B$47:$B$52,""))</f>
        <v>Team 5</v>
      </c>
      <c r="J47" s="21">
        <f>IF(I47="","",_xlfn.XLOOKUP(H47,$E$47:$E$52,$C$47:$C$52,""))</f>
        <v>8</v>
      </c>
      <c r="K47" s="53">
        <f>IF(I47="","",_xlfn.XLOOKUP(H47,$E$47:$E$52,$D$47:$D$52,""))</f>
        <v>28</v>
      </c>
      <c r="L47" s="17">
        <f>'Points Table'!E46</f>
        <v>89</v>
      </c>
    </row>
    <row r="48" spans="2:12" x14ac:dyDescent="0.15">
      <c r="B48" s="19" t="s">
        <v>3</v>
      </c>
      <c r="C48" s="20">
        <f>'Points Table'!D47</f>
        <v>0</v>
      </c>
      <c r="D48" s="52">
        <f>'Points Table'!G47</f>
        <v>-68</v>
      </c>
      <c r="E48" s="20">
        <f t="shared" si="3"/>
        <v>6</v>
      </c>
      <c r="F48" s="17" t="str">
        <f>IF(COUNTIFS('Shuffled Matches'!$G$3:$G$107,"Men's Singles 1",'Shuffled Matches'!$K$3:$K$107,"&lt;&gt;")=0,"Pending",IF(E48&lt;=4,"Top 4","Eliminated"))</f>
        <v>Eliminated</v>
      </c>
      <c r="G48" s="17"/>
      <c r="H48" s="21">
        <v>2</v>
      </c>
      <c r="I48" s="22" t="str">
        <f>IF(COUNTIFS('Shuffled Matches'!$G$3:$G$107,"Men's Singles 1",'Shuffled Matches'!$K$3:$K$107,"&lt;&gt;")=0,"",_xlfn.XLOOKUP(H48,$E$47:$E$52,$B$47:$B$52,""))</f>
        <v>Team 3</v>
      </c>
      <c r="J48" s="21">
        <f>IF(I48="","",_xlfn.XLOOKUP(H48,$E$47:$E$52,$C$47:$C$52,""))</f>
        <v>8</v>
      </c>
      <c r="K48" s="53">
        <f>IF(I48="","",_xlfn.XLOOKUP(H48,$E$47:$E$52,$D$47:$D$52,""))</f>
        <v>18</v>
      </c>
      <c r="L48" s="17">
        <f>'Points Table'!E47</f>
        <v>37</v>
      </c>
    </row>
    <row r="49" spans="2:12" x14ac:dyDescent="0.15">
      <c r="B49" s="19" t="s">
        <v>63</v>
      </c>
      <c r="C49" s="20">
        <f>'Points Table'!D48</f>
        <v>8</v>
      </c>
      <c r="D49" s="52">
        <f>'Points Table'!G48</f>
        <v>18</v>
      </c>
      <c r="E49" s="20">
        <f t="shared" si="3"/>
        <v>2</v>
      </c>
      <c r="F49" s="17" t="str">
        <f>IF(COUNTIFS('Shuffled Matches'!$G$3:$G$107,"Men's Singles 1",'Shuffled Matches'!$K$3:$K$107,"&lt;&gt;")=0,"Pending",IF(E49&lt;=4,"Top 4","Eliminated"))</f>
        <v>Top 4</v>
      </c>
      <c r="G49" s="17"/>
      <c r="H49" s="21">
        <v>3</v>
      </c>
      <c r="I49" s="22" t="str">
        <f>IF(COUNTIFS('Shuffled Matches'!$G$3:$G$107,"Men's Singles 1",'Shuffled Matches'!$K$3:$K$107,"&lt;&gt;")=0,"",_xlfn.XLOOKUP(H49,$E$47:$E$52,$B$47:$B$52,""))</f>
        <v>Team 1</v>
      </c>
      <c r="J49" s="21">
        <f>IF(I49="","",_xlfn.XLOOKUP(H49,$E$47:$E$52,$C$47:$C$52,""))</f>
        <v>6</v>
      </c>
      <c r="K49" s="53">
        <f>IF(I49="","",_xlfn.XLOOKUP(H49,$E$47:$E$52,$D$47:$D$52,""))</f>
        <v>3</v>
      </c>
      <c r="L49" s="17">
        <f>'Points Table'!E48</f>
        <v>98</v>
      </c>
    </row>
    <row r="50" spans="2:12" x14ac:dyDescent="0.15">
      <c r="B50" s="19" t="s">
        <v>59</v>
      </c>
      <c r="C50" s="20">
        <f>'Points Table'!D49</f>
        <v>4</v>
      </c>
      <c r="D50" s="52">
        <f>'Points Table'!G49</f>
        <v>2</v>
      </c>
      <c r="E50" s="20">
        <f t="shared" si="3"/>
        <v>5</v>
      </c>
      <c r="F50" s="17" t="str">
        <f>IF(COUNTIFS('Shuffled Matches'!$G$3:$G$107,"Men's Singles 1",'Shuffled Matches'!$K$3:$K$107,"&lt;&gt;")=0,"Pending",IF(E50&lt;=4,"Top 4","Eliminated"))</f>
        <v>Eliminated</v>
      </c>
      <c r="G50" s="17"/>
      <c r="H50" s="21">
        <v>4</v>
      </c>
      <c r="I50" s="22" t="str">
        <f>IF(COUNTIFS('Shuffled Matches'!$G$3:$G$107,"Men's Singles 1",'Shuffled Matches'!$K$3:$K$107,"&lt;&gt;")=0,"",_xlfn.XLOOKUP(H50,$E$47:$E$52,$B$47:$B$52,""))</f>
        <v>Team 6</v>
      </c>
      <c r="J50" s="21">
        <f>IF(I50="","",_xlfn.XLOOKUP(H50,$E$47:$E$52,$C$47:$C$52,""))</f>
        <v>4</v>
      </c>
      <c r="K50" s="53">
        <f>IF(I50="","",_xlfn.XLOOKUP(H50,$E$47:$E$52,$D$47:$D$52,""))</f>
        <v>17</v>
      </c>
      <c r="L50" s="17">
        <f>'Points Table'!E49</f>
        <v>83</v>
      </c>
    </row>
    <row r="51" spans="2:12" x14ac:dyDescent="0.15">
      <c r="B51" s="19" t="s">
        <v>50</v>
      </c>
      <c r="C51" s="20">
        <f>'Points Table'!D50</f>
        <v>8</v>
      </c>
      <c r="D51" s="52">
        <f>'Points Table'!G50</f>
        <v>28</v>
      </c>
      <c r="E51" s="20">
        <f t="shared" si="3"/>
        <v>1</v>
      </c>
      <c r="F51" s="17" t="str">
        <f>IF(COUNTIFS('Shuffled Matches'!$G$3:$G$107,"Men's Singles 1",'Shuffled Matches'!$K$3:$K$107,"&lt;&gt;")=0,"Pending",IF(E51&lt;=4,"Top 4","Eliminated"))</f>
        <v>Top 4</v>
      </c>
      <c r="G51" s="17"/>
      <c r="H51" s="17"/>
      <c r="I51" s="17"/>
      <c r="J51" s="17"/>
      <c r="K51" s="17"/>
      <c r="L51" s="17">
        <f>'Points Table'!E50</f>
        <v>99</v>
      </c>
    </row>
    <row r="52" spans="2:12" x14ac:dyDescent="0.15">
      <c r="B52" s="19" t="s">
        <v>51</v>
      </c>
      <c r="C52" s="20">
        <f>'Points Table'!D51</f>
        <v>4</v>
      </c>
      <c r="D52" s="52">
        <f>'Points Table'!G51</f>
        <v>17</v>
      </c>
      <c r="E52" s="20">
        <f t="shared" si="3"/>
        <v>4</v>
      </c>
      <c r="F52" s="17" t="str">
        <f>IF(COUNTIFS('Shuffled Matches'!$G$3:$G$107,"Men's Singles 1",'Shuffled Matches'!$K$3:$K$107,"&lt;&gt;")=0,"Pending",IF(E52&lt;=4,"Top 4","Eliminated"))</f>
        <v>Top 4</v>
      </c>
      <c r="G52" s="17"/>
      <c r="H52" s="17"/>
      <c r="I52" s="17"/>
      <c r="J52" s="17"/>
      <c r="K52" s="17"/>
      <c r="L52" s="17">
        <f>'Points Table'!E51</f>
        <v>91</v>
      </c>
    </row>
    <row r="53" spans="2:12" x14ac:dyDescent="0.15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spans="2:12" x14ac:dyDescent="0.15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2:12" x14ac:dyDescent="0.15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2:12" x14ac:dyDescent="0.15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2:12" x14ac:dyDescent="0.15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2:12" x14ac:dyDescent="0.15">
      <c r="B58" s="64" t="s">
        <v>143</v>
      </c>
      <c r="C58" s="64"/>
      <c r="D58" s="64"/>
      <c r="E58" s="64"/>
      <c r="F58" s="64"/>
      <c r="G58" s="64"/>
      <c r="H58" s="64"/>
      <c r="I58" s="64"/>
      <c r="J58" s="64"/>
      <c r="K58" s="64"/>
      <c r="L58" s="18"/>
    </row>
    <row r="59" spans="2:12" x14ac:dyDescent="0.15">
      <c r="B59" s="37" t="s">
        <v>241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</row>
    <row r="60" spans="2:12" x14ac:dyDescent="0.15">
      <c r="B60" s="16" t="s">
        <v>131</v>
      </c>
      <c r="C60" s="16" t="s">
        <v>138</v>
      </c>
      <c r="D60" s="16" t="s">
        <v>236</v>
      </c>
      <c r="E60" s="16" t="s">
        <v>134</v>
      </c>
      <c r="F60" s="16" t="s">
        <v>135</v>
      </c>
      <c r="G60" s="17"/>
      <c r="H60" s="18" t="s">
        <v>134</v>
      </c>
      <c r="I60" s="18" t="s">
        <v>139</v>
      </c>
      <c r="J60" s="18" t="s">
        <v>138</v>
      </c>
      <c r="K60" s="18" t="s">
        <v>236</v>
      </c>
      <c r="L60" s="17" t="s">
        <v>133</v>
      </c>
    </row>
    <row r="61" spans="2:12" x14ac:dyDescent="0.15">
      <c r="B61" s="19" t="s">
        <v>2</v>
      </c>
      <c r="C61" s="20">
        <f>'Points Table'!D56</f>
        <v>6</v>
      </c>
      <c r="D61" s="52">
        <f>'Points Table'!G56</f>
        <v>-1</v>
      </c>
      <c r="E61" s="20">
        <f t="shared" ref="E61:E66" si="4">1+COUNTIF($C$61:$C$66,"&gt;"&amp;C61)+COUNTIFS($C$61:$C$66,C61,$D$61:$D$66,"&gt;"&amp;D61)+COUNTIFS($C$61:$C$66,C61,$D$61:$D$66,D61,$B$61:$B$66,"&lt;"&amp;B61)</f>
        <v>3</v>
      </c>
      <c r="F61" s="17" t="str">
        <f>IF(COUNTIFS('Shuffled Matches'!$G$3:$G$107,"Men's Singles 2",'Shuffled Matches'!$K$3:$K$107,"&lt;&gt;")=0,"Pending",IF(E61&lt;=4,"Top 4","Eliminated"))</f>
        <v>Top 4</v>
      </c>
      <c r="G61" s="17"/>
      <c r="H61" s="21">
        <v>1</v>
      </c>
      <c r="I61" s="22" t="str">
        <f>IF(COUNTIFS('Shuffled Matches'!$G$3:$G$107,"Men's Singles 2",'Shuffled Matches'!$K$3:$K$107,"&lt;&gt;")=0,"",_xlfn.XLOOKUP(H61,$E$61:$E$66,$B$61:$B$66,""))</f>
        <v>Team 4</v>
      </c>
      <c r="J61" s="21">
        <f>IF(I61="","",_xlfn.XLOOKUP(H61,$E$61:$E$66,$C$61:$C$66,""))</f>
        <v>10</v>
      </c>
      <c r="K61" s="53">
        <f>IF(I61="","",_xlfn.XLOOKUP(H61,$E$61:$E$66,$D$61:$D$66,""))</f>
        <v>66</v>
      </c>
      <c r="L61" s="17">
        <f>'Points Table'!E56</f>
        <v>84</v>
      </c>
    </row>
    <row r="62" spans="2:12" x14ac:dyDescent="0.15">
      <c r="B62" s="19" t="s">
        <v>3</v>
      </c>
      <c r="C62" s="20">
        <f>'Points Table'!D57</f>
        <v>0</v>
      </c>
      <c r="D62" s="52">
        <f>'Points Table'!G57</f>
        <v>-73</v>
      </c>
      <c r="E62" s="20">
        <f t="shared" si="4"/>
        <v>6</v>
      </c>
      <c r="F62" s="17" t="str">
        <f>IF(COUNTIFS('Shuffled Matches'!$G$3:$G$107,"Men's Singles 2",'Shuffled Matches'!$K$3:$K$107,"&lt;&gt;")=0,"Pending",IF(E62&lt;=4,"Top 4","Eliminated"))</f>
        <v>Eliminated</v>
      </c>
      <c r="G62" s="17"/>
      <c r="H62" s="21">
        <v>2</v>
      </c>
      <c r="I62" s="22" t="str">
        <f>IF(COUNTIFS('Shuffled Matches'!$G$3:$G$107,"Men's Singles 2",'Shuffled Matches'!$K$3:$K$107,"&lt;&gt;")=0,"",_xlfn.XLOOKUP(H62,$E$61:$E$66,$B$61:$B$66,""))</f>
        <v>Team 5</v>
      </c>
      <c r="J62" s="21">
        <f>IF(I62="","",_xlfn.XLOOKUP(H62,$E$61:$E$66,$C$61:$C$66,""))</f>
        <v>8</v>
      </c>
      <c r="K62" s="53">
        <f>IF(I62="","",_xlfn.XLOOKUP(H62,$E$61:$E$66,$D$61:$D$66,""))</f>
        <v>47</v>
      </c>
      <c r="L62" s="17">
        <f>'Points Table'!E57</f>
        <v>32</v>
      </c>
    </row>
    <row r="63" spans="2:12" x14ac:dyDescent="0.15">
      <c r="B63" s="19" t="s">
        <v>63</v>
      </c>
      <c r="C63" s="20">
        <f>'Points Table'!D58</f>
        <v>2</v>
      </c>
      <c r="D63" s="52">
        <f>'Points Table'!G58</f>
        <v>-20</v>
      </c>
      <c r="E63" s="57">
        <f t="shared" si="4"/>
        <v>5</v>
      </c>
      <c r="F63" s="19" t="str">
        <f>IF(COUNTIFS('Shuffled Matches'!$G$3:$G$107,"Men's Singles 2",'Shuffled Matches'!$K$3:$K$107,"&lt;&gt;")=0,"Pending",IF(E63&lt;=4,"Top 4","Eliminated"))</f>
        <v>Eliminated</v>
      </c>
      <c r="G63" s="17"/>
      <c r="H63" s="21">
        <v>3</v>
      </c>
      <c r="I63" s="22" t="str">
        <f>IF(COUNTIFS('Shuffled Matches'!$G$3:$G$107,"Men's Singles 2",'Shuffled Matches'!$K$3:$K$107,"&lt;&gt;")=0,"",_xlfn.XLOOKUP(H63,$E$61:$E$66,$B$61:$B$66,""))</f>
        <v>Team 1</v>
      </c>
      <c r="J63" s="21">
        <f>IF(I63="","",_xlfn.XLOOKUP(H63,$E$61:$E$66,$C$61:$C$66,""))</f>
        <v>6</v>
      </c>
      <c r="K63" s="53">
        <f>IF(I63="","",_xlfn.XLOOKUP(H63,$E$61:$E$66,$D$61:$D$66,""))</f>
        <v>-1</v>
      </c>
      <c r="L63" s="17">
        <f>'Points Table'!E58</f>
        <v>75</v>
      </c>
    </row>
    <row r="64" spans="2:12" x14ac:dyDescent="0.15">
      <c r="B64" s="19" t="s">
        <v>59</v>
      </c>
      <c r="C64" s="20">
        <f>'Points Table'!D59</f>
        <v>10</v>
      </c>
      <c r="D64" s="52">
        <f>'Points Table'!G59</f>
        <v>66</v>
      </c>
      <c r="E64" s="20">
        <f t="shared" si="4"/>
        <v>1</v>
      </c>
      <c r="F64" s="17" t="str">
        <f>IF(COUNTIFS('Shuffled Matches'!$G$3:$G$107,"Men's Singles 2",'Shuffled Matches'!$K$3:$K$107,"&lt;&gt;")=0,"Pending",IF(E64&lt;=4,"Top 4","Eliminated"))</f>
        <v>Top 4</v>
      </c>
      <c r="G64" s="17"/>
      <c r="H64" s="21">
        <v>4</v>
      </c>
      <c r="I64" s="22" t="str">
        <f>IF(COUNTIFS('Shuffled Matches'!$G$3:$G$107,"Men's Singles 2",'Shuffled Matches'!$K$3:$K$107,"&lt;&gt;")=0,"",_xlfn.XLOOKUP(H64,$E$61:$E$66,$B$61:$B$66,""))</f>
        <v>Team 6</v>
      </c>
      <c r="J64" s="21">
        <f>IF(I64="","",_xlfn.XLOOKUP(H64,$E$61:$E$66,$C$61:$C$66,""))</f>
        <v>4</v>
      </c>
      <c r="K64" s="53">
        <f>IF(I64="","",_xlfn.XLOOKUP(H64,$E$61:$E$66,$D$61:$D$66,""))</f>
        <v>-19</v>
      </c>
      <c r="L64" s="17">
        <f>'Points Table'!E59</f>
        <v>105</v>
      </c>
    </row>
    <row r="65" spans="2:12" x14ac:dyDescent="0.15">
      <c r="B65" s="19" t="s">
        <v>50</v>
      </c>
      <c r="C65" s="20">
        <f>'Points Table'!D60</f>
        <v>8</v>
      </c>
      <c r="D65" s="52">
        <f>'Points Table'!G60</f>
        <v>47</v>
      </c>
      <c r="E65" s="20">
        <f t="shared" si="4"/>
        <v>2</v>
      </c>
      <c r="F65" s="17" t="str">
        <f>IF(COUNTIFS('Shuffled Matches'!$G$3:$G$107,"Men's Singles 2",'Shuffled Matches'!$K$3:$K$107,"&lt;&gt;")=0,"Pending",IF(E65&lt;=4,"Top 4","Eliminated"))</f>
        <v>Top 4</v>
      </c>
      <c r="G65" s="17"/>
      <c r="H65" s="17"/>
      <c r="I65" s="17"/>
      <c r="J65" s="17"/>
      <c r="K65" s="17"/>
      <c r="L65" s="17">
        <f>'Points Table'!E60</f>
        <v>97</v>
      </c>
    </row>
    <row r="66" spans="2:12" x14ac:dyDescent="0.15">
      <c r="B66" s="19" t="s">
        <v>51</v>
      </c>
      <c r="C66" s="20">
        <f>'Points Table'!D61</f>
        <v>4</v>
      </c>
      <c r="D66" s="52">
        <f>'Points Table'!G61</f>
        <v>-19</v>
      </c>
      <c r="E66" s="57">
        <f t="shared" si="4"/>
        <v>4</v>
      </c>
      <c r="F66" s="19" t="str">
        <f>IF(COUNTIFS('Shuffled Matches'!$G$3:$G$107,"Men's Singles 2",'Shuffled Matches'!$K$3:$K$107,"&lt;&gt;")=0,"Pending",IF(E66&lt;=4,"Top 4","Eliminated"))</f>
        <v>Top 4</v>
      </c>
      <c r="G66" s="17"/>
      <c r="H66" s="17"/>
      <c r="I66" s="17"/>
      <c r="J66" s="17"/>
      <c r="K66" s="17"/>
      <c r="L66" s="17">
        <f>'Points Table'!E61</f>
        <v>74</v>
      </c>
    </row>
    <row r="67" spans="2:12" x14ac:dyDescent="0.15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2:12" x14ac:dyDescent="0.15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spans="2:12" x14ac:dyDescent="0.15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2:12" x14ac:dyDescent="0.15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spans="2:12" x14ac:dyDescent="0.1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2:12" x14ac:dyDescent="0.15">
      <c r="B72" s="64" t="s">
        <v>144</v>
      </c>
      <c r="C72" s="64"/>
      <c r="D72" s="64"/>
      <c r="E72" s="64"/>
      <c r="F72" s="64"/>
      <c r="G72" s="64"/>
      <c r="H72" s="64"/>
      <c r="I72" s="64"/>
      <c r="J72" s="64"/>
      <c r="K72" s="64"/>
      <c r="L72" s="18"/>
    </row>
    <row r="73" spans="2:12" x14ac:dyDescent="0.15">
      <c r="B73" s="37" t="s">
        <v>241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 spans="2:12" x14ac:dyDescent="0.15">
      <c r="B74" s="16" t="s">
        <v>131</v>
      </c>
      <c r="C74" s="16" t="s">
        <v>138</v>
      </c>
      <c r="D74" s="16" t="s">
        <v>236</v>
      </c>
      <c r="E74" s="16" t="s">
        <v>134</v>
      </c>
      <c r="F74" s="16" t="s">
        <v>135</v>
      </c>
      <c r="G74" s="17"/>
      <c r="H74" s="18" t="s">
        <v>134</v>
      </c>
      <c r="I74" s="18" t="s">
        <v>139</v>
      </c>
      <c r="J74" s="18" t="s">
        <v>138</v>
      </c>
      <c r="K74" s="18" t="s">
        <v>236</v>
      </c>
      <c r="L74" s="17" t="s">
        <v>133</v>
      </c>
    </row>
    <row r="75" spans="2:12" x14ac:dyDescent="0.15">
      <c r="B75" s="19" t="s">
        <v>2</v>
      </c>
      <c r="C75" s="20">
        <f>'Points Table'!D66</f>
        <v>2</v>
      </c>
      <c r="D75" s="52">
        <f>'Points Table'!G66</f>
        <v>-11</v>
      </c>
      <c r="E75" s="20">
        <f t="shared" ref="E75:E80" si="5">1+COUNTIF($C$75:$C$80,"&gt;"&amp;C75)+COUNTIFS($C$75:$C$80,C75,$D$75:$D$80,"&gt;"&amp;D75)+COUNTIFS($C$75:$C$80,C75,$D$75:$D$80,D75,$B$75:$B$80,"&lt;"&amp;B75)</f>
        <v>5</v>
      </c>
      <c r="F75" s="17" t="str">
        <f>IF(COUNTIFS('Shuffled Matches'!$G$3:$G$107,"Men's Doubles 1",'Shuffled Matches'!$K$3:$K$107,"&lt;&gt;")=0,"Pending",IF(E75&lt;=4,"Top 4","Eliminated"))</f>
        <v>Eliminated</v>
      </c>
      <c r="G75" s="17"/>
      <c r="H75" s="21">
        <v>1</v>
      </c>
      <c r="I75" s="22" t="str">
        <f>IF(COUNTIFS('Shuffled Matches'!$G$3:$G$107,"Men's Doubles 1",'Shuffled Matches'!$K$3:$K$107,"&lt;&gt;")=0,"",_xlfn.XLOOKUP(H75,$E$75:$E$80,$B$75:$B$80,""))</f>
        <v>Team 2</v>
      </c>
      <c r="J75" s="21">
        <f>IF(I75="","",_xlfn.XLOOKUP(H75,$E$75:$E$80,$C$75:$C$80,""))</f>
        <v>10</v>
      </c>
      <c r="K75" s="53">
        <f>IF(I75="","",_xlfn.XLOOKUP(H75,$E$75:$E$80,$D$75:$D$80,""))</f>
        <v>40</v>
      </c>
      <c r="L75" s="17">
        <f>'Points Table'!E66</f>
        <v>84</v>
      </c>
    </row>
    <row r="76" spans="2:12" x14ac:dyDescent="0.15">
      <c r="B76" s="19" t="s">
        <v>3</v>
      </c>
      <c r="C76" s="20">
        <f>'Points Table'!D67</f>
        <v>10</v>
      </c>
      <c r="D76" s="52">
        <f>'Points Table'!G67</f>
        <v>40</v>
      </c>
      <c r="E76" s="20">
        <f t="shared" si="5"/>
        <v>1</v>
      </c>
      <c r="F76" s="17" t="str">
        <f>IF(COUNTIFS('Shuffled Matches'!$G$3:$G$107,"Men's Doubles 1",'Shuffled Matches'!$K$3:$K$107,"&lt;&gt;")=0,"Pending",IF(E76&lt;=4,"Top 4","Eliminated"))</f>
        <v>Top 4</v>
      </c>
      <c r="G76" s="17"/>
      <c r="H76" s="21">
        <v>2</v>
      </c>
      <c r="I76" s="22" t="str">
        <f>IF(COUNTIFS('Shuffled Matches'!$G$3:$G$107,"Men's Doubles 1",'Shuffled Matches'!$K$3:$K$107,"&lt;&gt;")=0,"",_xlfn.XLOOKUP(H76,$E$75:$E$80,$B$75:$B$80,""))</f>
        <v>Team 3</v>
      </c>
      <c r="J76" s="21">
        <f>IF(I76="","",_xlfn.XLOOKUP(H76,$E$75:$E$80,$C$75:$C$80,""))</f>
        <v>8</v>
      </c>
      <c r="K76" s="53">
        <f>IF(I76="","",_xlfn.XLOOKUP(H76,$E$75:$E$80,$D$75:$D$80,""))</f>
        <v>13</v>
      </c>
      <c r="L76" s="17">
        <f>'Points Table'!E67</f>
        <v>105</v>
      </c>
    </row>
    <row r="77" spans="2:12" x14ac:dyDescent="0.15">
      <c r="B77" s="19" t="s">
        <v>63</v>
      </c>
      <c r="C77" s="20">
        <f>'Points Table'!D68</f>
        <v>8</v>
      </c>
      <c r="D77" s="52">
        <f>'Points Table'!G68</f>
        <v>13</v>
      </c>
      <c r="E77" s="20">
        <f t="shared" si="5"/>
        <v>2</v>
      </c>
      <c r="F77" s="17" t="str">
        <f>IF(COUNTIFS('Shuffled Matches'!$G$3:$G$107,"Men's Doubles 1",'Shuffled Matches'!$K$3:$K$107,"&lt;&gt;")=0,"Pending",IF(E77&lt;=4,"Top 4","Eliminated"))</f>
        <v>Top 4</v>
      </c>
      <c r="G77" s="17"/>
      <c r="H77" s="21">
        <v>3</v>
      </c>
      <c r="I77" s="22" t="str">
        <f>IF(COUNTIFS('Shuffled Matches'!$G$3:$G$107,"Men's Doubles 1",'Shuffled Matches'!$K$3:$K$107,"&lt;&gt;")=0,"",_xlfn.XLOOKUP(H77,$E$75:$E$80,$B$75:$B$80,""))</f>
        <v>Team 4</v>
      </c>
      <c r="J77" s="21">
        <f>IF(I77="","",_xlfn.XLOOKUP(H77,$E$75:$E$80,$C$75:$C$80,""))</f>
        <v>6</v>
      </c>
      <c r="K77" s="53">
        <f>IF(I77="","",_xlfn.XLOOKUP(H77,$E$75:$E$80,$D$75:$D$80,""))</f>
        <v>7</v>
      </c>
      <c r="L77" s="17">
        <f>'Points Table'!E68</f>
        <v>100</v>
      </c>
    </row>
    <row r="78" spans="2:12" x14ac:dyDescent="0.15">
      <c r="B78" s="19" t="s">
        <v>59</v>
      </c>
      <c r="C78" s="20">
        <f>'Points Table'!D69</f>
        <v>6</v>
      </c>
      <c r="D78" s="52">
        <f>'Points Table'!G69</f>
        <v>7</v>
      </c>
      <c r="E78" s="57">
        <f t="shared" si="5"/>
        <v>3</v>
      </c>
      <c r="F78" s="17" t="str">
        <f>IF(COUNTIFS('Shuffled Matches'!$G$3:$G$107,"Men's Doubles 1",'Shuffled Matches'!$K$3:$K$107,"&lt;&gt;")=0,"Pending",IF(E78&lt;=4,"Top 4","Eliminated"))</f>
        <v>Top 4</v>
      </c>
      <c r="G78" s="17"/>
      <c r="H78" s="21">
        <v>4</v>
      </c>
      <c r="I78" s="22" t="str">
        <f>IF(COUNTIFS('Shuffled Matches'!$G$3:$G$107,"Men's Doubles 1",'Shuffled Matches'!$K$3:$K$107,"&lt;&gt;")=0,"",_xlfn.XLOOKUP(H78,$E$75:$E$80,$B$75:$B$80,""))</f>
        <v>Team 6</v>
      </c>
      <c r="J78" s="21">
        <f>IF(I78="","",_xlfn.XLOOKUP(H78,$E$75:$E$80,$C$75:$C$80,""))</f>
        <v>4</v>
      </c>
      <c r="K78" s="53">
        <f>IF(I78="","",_xlfn.XLOOKUP(H78,$E$75:$E$80,$D$75:$D$80,""))</f>
        <v>-7</v>
      </c>
      <c r="L78" s="17">
        <f>'Points Table'!E69</f>
        <v>93</v>
      </c>
    </row>
    <row r="79" spans="2:12" x14ac:dyDescent="0.15">
      <c r="B79" s="19" t="s">
        <v>50</v>
      </c>
      <c r="C79" s="20">
        <f>'Points Table'!D70</f>
        <v>0</v>
      </c>
      <c r="D79" s="52">
        <f>'Points Table'!G70</f>
        <v>-42</v>
      </c>
      <c r="E79" s="20">
        <f t="shared" si="5"/>
        <v>6</v>
      </c>
      <c r="F79" s="17" t="str">
        <f>IF(COUNTIFS('Shuffled Matches'!$G$3:$G$107,"Men's Doubles 1",'Shuffled Matches'!$K$3:$K$107,"&lt;&gt;")=0,"Pending",IF(E79&lt;=4,"Top 4","Eliminated"))</f>
        <v>Eliminated</v>
      </c>
      <c r="G79" s="17"/>
      <c r="H79" s="17"/>
      <c r="I79" s="17"/>
      <c r="J79" s="17"/>
      <c r="K79" s="17"/>
      <c r="L79" s="17">
        <f>'Points Table'!E70</f>
        <v>63</v>
      </c>
    </row>
    <row r="80" spans="2:12" x14ac:dyDescent="0.15">
      <c r="B80" s="19" t="s">
        <v>51</v>
      </c>
      <c r="C80" s="20">
        <f>'Points Table'!D71</f>
        <v>4</v>
      </c>
      <c r="D80" s="52">
        <f>'Points Table'!G71</f>
        <v>-7</v>
      </c>
      <c r="E80" s="57">
        <f t="shared" si="5"/>
        <v>4</v>
      </c>
      <c r="F80" s="17" t="str">
        <f>IF(COUNTIFS('Shuffled Matches'!$G$3:$G$107,"Men's Doubles 1",'Shuffled Matches'!$K$3:$K$107,"&lt;&gt;")=0,"Pending",IF(E80&lt;=4,"Top 4","Eliminated"))</f>
        <v>Top 4</v>
      </c>
      <c r="G80" s="17"/>
      <c r="H80" s="17"/>
      <c r="I80" s="17"/>
      <c r="J80" s="17"/>
      <c r="K80" s="17"/>
      <c r="L80" s="17">
        <f>'Points Table'!E71</f>
        <v>94</v>
      </c>
    </row>
    <row r="81" spans="2:12" x14ac:dyDescent="0.15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spans="2:12" x14ac:dyDescent="0.15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spans="2:12" x14ac:dyDescent="0.15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spans="2:12" x14ac:dyDescent="0.15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spans="2:12" x14ac:dyDescent="0.15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2:12" x14ac:dyDescent="0.15">
      <c r="B86" s="64" t="s">
        <v>145</v>
      </c>
      <c r="C86" s="64"/>
      <c r="D86" s="64"/>
      <c r="E86" s="64"/>
      <c r="F86" s="64"/>
      <c r="G86" s="64"/>
      <c r="H86" s="64"/>
      <c r="I86" s="64"/>
      <c r="J86" s="64"/>
      <c r="K86" s="64"/>
      <c r="L86" s="18"/>
    </row>
    <row r="87" spans="2:12" x14ac:dyDescent="0.15">
      <c r="B87" s="37" t="s">
        <v>241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</row>
    <row r="88" spans="2:12" x14ac:dyDescent="0.15">
      <c r="B88" s="16" t="s">
        <v>131</v>
      </c>
      <c r="C88" s="16" t="s">
        <v>138</v>
      </c>
      <c r="D88" s="16" t="s">
        <v>236</v>
      </c>
      <c r="E88" s="16" t="s">
        <v>134</v>
      </c>
      <c r="F88" s="16" t="s">
        <v>135</v>
      </c>
      <c r="G88" s="17"/>
      <c r="H88" s="18" t="s">
        <v>134</v>
      </c>
      <c r="I88" s="18" t="s">
        <v>139</v>
      </c>
      <c r="J88" s="18" t="s">
        <v>138</v>
      </c>
      <c r="K88" s="18" t="s">
        <v>236</v>
      </c>
      <c r="L88" s="17" t="s">
        <v>133</v>
      </c>
    </row>
    <row r="89" spans="2:12" x14ac:dyDescent="0.15">
      <c r="B89" s="19" t="s">
        <v>2</v>
      </c>
      <c r="C89" s="20">
        <f>'Points Table'!D76</f>
        <v>2</v>
      </c>
      <c r="D89" s="52">
        <f>'Points Table'!G76</f>
        <v>-14</v>
      </c>
      <c r="E89" s="20">
        <f t="shared" ref="E89:E94" si="6">1+COUNTIF($C$89:$C$94,"&gt;"&amp;C89)+COUNTIFS($C$89:$C$94,C89,$D$89:$D$94,"&gt;"&amp;D89)+COUNTIFS($C$89:$C$94,C89,$D$89:$D$94,D89,$B$89:$B$94,"&lt;"&amp;B89)</f>
        <v>5</v>
      </c>
      <c r="F89" s="17" t="str">
        <f>IF(COUNTIFS('Shuffled Matches'!$G$3:$G$107,"Men's Doubles 2",'Shuffled Matches'!$K$3:$K$107,"&lt;&gt;")=0,"Pending",IF(E89&lt;=4,"Top 4","Eliminated"))</f>
        <v>Eliminated</v>
      </c>
      <c r="G89" s="17"/>
      <c r="H89" s="21">
        <v>1</v>
      </c>
      <c r="I89" s="22" t="str">
        <f>IF(COUNTIFS('Shuffled Matches'!$G$3:$G$107,"Men's Doubles 2",'Shuffled Matches'!$K$3:$K$107,"&lt;&gt;")=0,"",_xlfn.XLOOKUP(H89,$E$89:$E$94,$B$89:$B$94,""))</f>
        <v>Team 6</v>
      </c>
      <c r="J89" s="21">
        <f>IF(I89="","",_xlfn.XLOOKUP(H89,$E$89:$E$94,$C$89:$C$94,""))</f>
        <v>8</v>
      </c>
      <c r="K89" s="53">
        <f>IF(I89="","",_xlfn.XLOOKUP(H89,$E$89:$E$94,$D$89:$D$94,""))</f>
        <v>37</v>
      </c>
      <c r="L89" s="17">
        <f>'Points Table'!E76</f>
        <v>62</v>
      </c>
    </row>
    <row r="90" spans="2:12" x14ac:dyDescent="0.15">
      <c r="B90" s="19" t="s">
        <v>3</v>
      </c>
      <c r="C90" s="20">
        <f>'Points Table'!D77</f>
        <v>6</v>
      </c>
      <c r="D90" s="52">
        <f>'Points Table'!G77</f>
        <v>15</v>
      </c>
      <c r="E90" s="20">
        <f t="shared" si="6"/>
        <v>3</v>
      </c>
      <c r="F90" s="17" t="str">
        <f>IF(COUNTIFS('Shuffled Matches'!$G$3:$G$107,"Men's Doubles 2",'Shuffled Matches'!$K$3:$K$107,"&lt;&gt;")=0,"Pending",IF(E90&lt;=4,"Top 4","Eliminated"))</f>
        <v>Top 4</v>
      </c>
      <c r="G90" s="17"/>
      <c r="H90" s="21">
        <v>2</v>
      </c>
      <c r="I90" s="22" t="str">
        <f>IF(COUNTIFS('Shuffled Matches'!$G$3:$G$107,"Men's Doubles 2",'Shuffled Matches'!$K$3:$K$107,"&lt;&gt;")=0,"",_xlfn.XLOOKUP(H90,$E$89:$E$94,$B$89:$B$94,""))</f>
        <v>Team 3</v>
      </c>
      <c r="J90" s="21">
        <f>IF(I90="","",_xlfn.XLOOKUP(H90,$E$89:$E$94,$C$89:$C$94,""))</f>
        <v>8</v>
      </c>
      <c r="K90" s="53">
        <f>IF(I90="","",_xlfn.XLOOKUP(H90,$E$89:$E$94,$D$89:$D$94,""))</f>
        <v>12</v>
      </c>
      <c r="L90" s="17">
        <f>'Points Table'!E77</f>
        <v>94</v>
      </c>
    </row>
    <row r="91" spans="2:12" x14ac:dyDescent="0.15">
      <c r="B91" s="19" t="s">
        <v>63</v>
      </c>
      <c r="C91" s="20">
        <f>'Points Table'!D78</f>
        <v>8</v>
      </c>
      <c r="D91" s="52">
        <f>'Points Table'!G78</f>
        <v>12</v>
      </c>
      <c r="E91" s="57">
        <f t="shared" si="6"/>
        <v>2</v>
      </c>
      <c r="F91" s="17" t="str">
        <f>IF(COUNTIFS('Shuffled Matches'!$G$3:$G$107,"Men's Doubles 2",'Shuffled Matches'!$K$3:$K$107,"&lt;&gt;")=0,"Pending",IF(E91&lt;=4,"Top 4","Eliminated"))</f>
        <v>Top 4</v>
      </c>
      <c r="G91" s="17"/>
      <c r="H91" s="21">
        <v>3</v>
      </c>
      <c r="I91" s="22" t="str">
        <f>IF(COUNTIFS('Shuffled Matches'!$G$3:$G$107,"Men's Doubles 2",'Shuffled Matches'!$K$3:$K$107,"&lt;&gt;")=0,"",_xlfn.XLOOKUP(H91,$E$89:$E$94,$B$89:$B$94,""))</f>
        <v>Team 2</v>
      </c>
      <c r="J91" s="21">
        <f>IF(I91="","",_xlfn.XLOOKUP(H91,$E$89:$E$94,$C$89:$C$94,""))</f>
        <v>6</v>
      </c>
      <c r="K91" s="53">
        <f>IF(I91="","",_xlfn.XLOOKUP(H91,$E$89:$E$94,$D$89:$D$94,""))</f>
        <v>15</v>
      </c>
      <c r="L91" s="17">
        <f>'Points Table'!E78</f>
        <v>104</v>
      </c>
    </row>
    <row r="92" spans="2:12" x14ac:dyDescent="0.15">
      <c r="B92" s="19" t="s">
        <v>59</v>
      </c>
      <c r="C92" s="20">
        <f>'Points Table'!D79</f>
        <v>4</v>
      </c>
      <c r="D92" s="52">
        <f>'Points Table'!G79</f>
        <v>10</v>
      </c>
      <c r="E92" s="20">
        <f t="shared" si="6"/>
        <v>4</v>
      </c>
      <c r="F92" s="17" t="str">
        <f>IF(COUNTIFS('Shuffled Matches'!$G$3:$G$107,"Men's Doubles 2",'Shuffled Matches'!$K$3:$K$107,"&lt;&gt;")=0,"Pending",IF(E92&lt;=4,"Top 4","Eliminated"))</f>
        <v>Top 4</v>
      </c>
      <c r="G92" s="17"/>
      <c r="H92" s="21">
        <v>4</v>
      </c>
      <c r="I92" s="22" t="str">
        <f>IF(COUNTIFS('Shuffled Matches'!$G$3:$G$107,"Men's Doubles 2",'Shuffled Matches'!$K$3:$K$107,"&lt;&gt;")=0,"",_xlfn.XLOOKUP(H92,$E$89:$E$94,$B$89:$B$94,""))</f>
        <v>Team 4</v>
      </c>
      <c r="J92" s="21">
        <f>IF(I92="","",_xlfn.XLOOKUP(H92,$E$89:$E$94,$C$89:$C$94,""))</f>
        <v>4</v>
      </c>
      <c r="K92" s="53">
        <f>IF(I92="","",_xlfn.XLOOKUP(H92,$E$89:$E$94,$D$89:$D$94,""))</f>
        <v>10</v>
      </c>
      <c r="L92" s="17">
        <f>'Points Table'!E79</f>
        <v>91</v>
      </c>
    </row>
    <row r="93" spans="2:12" x14ac:dyDescent="0.15">
      <c r="B93" s="19" t="s">
        <v>50</v>
      </c>
      <c r="C93" s="20">
        <f>'Points Table'!D80</f>
        <v>0</v>
      </c>
      <c r="D93" s="52">
        <f>'Points Table'!G80</f>
        <v>-60</v>
      </c>
      <c r="E93" s="20">
        <f t="shared" si="6"/>
        <v>6</v>
      </c>
      <c r="F93" s="17" t="str">
        <f>IF(COUNTIFS('Shuffled Matches'!$G$3:$G$107,"Men's Doubles 2",'Shuffled Matches'!$K$3:$K$107,"&lt;&gt;")=0,"Pending",IF(E93&lt;=4,"Top 4","Eliminated"))</f>
        <v>Eliminated</v>
      </c>
      <c r="G93" s="17"/>
      <c r="H93" s="17"/>
      <c r="I93" s="17"/>
      <c r="J93" s="17"/>
      <c r="K93" s="17"/>
      <c r="L93" s="17">
        <f>'Points Table'!E80</f>
        <v>45</v>
      </c>
    </row>
    <row r="94" spans="2:12" x14ac:dyDescent="0.15">
      <c r="B94" s="19" t="s">
        <v>51</v>
      </c>
      <c r="C94" s="20">
        <f>'Points Table'!D81</f>
        <v>8</v>
      </c>
      <c r="D94" s="52">
        <f>'Points Table'!G81</f>
        <v>37</v>
      </c>
      <c r="E94" s="57">
        <f t="shared" si="6"/>
        <v>1</v>
      </c>
      <c r="F94" s="17" t="str">
        <f>IF(COUNTIFS('Shuffled Matches'!$G$3:$G$107,"Men's Doubles 2",'Shuffled Matches'!$K$3:$K$107,"&lt;&gt;")=0,"Pending",IF(E94&lt;=4,"Top 4","Eliminated"))</f>
        <v>Top 4</v>
      </c>
      <c r="G94" s="17"/>
      <c r="H94" s="17"/>
      <c r="I94" s="17"/>
      <c r="J94" s="17"/>
      <c r="K94" s="17"/>
      <c r="L94" s="17">
        <f>'Points Table'!E81</f>
        <v>84</v>
      </c>
    </row>
    <row r="95" spans="2:12" x14ac:dyDescent="0.15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spans="2:12" x14ac:dyDescent="0.15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 spans="2:12" x14ac:dyDescent="0.15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</sheetData>
  <mergeCells count="7">
    <mergeCell ref="B58:K58"/>
    <mergeCell ref="B44:K44"/>
    <mergeCell ref="B72:K72"/>
    <mergeCell ref="B86:K86"/>
    <mergeCell ref="B2:K2"/>
    <mergeCell ref="B16:K16"/>
    <mergeCell ref="B30:K30"/>
  </mergeCells>
  <conditionalFormatting sqref="F5:F10">
    <cfRule type="expression" dxfId="20" priority="1">
      <formula>F5="Top 4"</formula>
    </cfRule>
    <cfRule type="expression" dxfId="19" priority="2">
      <formula>F5="Eliminated"</formula>
    </cfRule>
    <cfRule type="expression" dxfId="18" priority="3">
      <formula>F5="Pending"</formula>
    </cfRule>
  </conditionalFormatting>
  <conditionalFormatting sqref="F19:F24">
    <cfRule type="expression" dxfId="17" priority="4">
      <formula>F19="Top 4"</formula>
    </cfRule>
    <cfRule type="expression" dxfId="16" priority="5">
      <formula>F19="Eliminated"</formula>
    </cfRule>
    <cfRule type="expression" dxfId="15" priority="6">
      <formula>F19="Pending"</formula>
    </cfRule>
  </conditionalFormatting>
  <conditionalFormatting sqref="F33:F38">
    <cfRule type="expression" dxfId="14" priority="7">
      <formula>F33="Top 4"</formula>
    </cfRule>
    <cfRule type="expression" dxfId="13" priority="8">
      <formula>F33="Eliminated"</formula>
    </cfRule>
    <cfRule type="expression" dxfId="12" priority="9">
      <formula>F33="Pending"</formula>
    </cfRule>
  </conditionalFormatting>
  <conditionalFormatting sqref="F47:F52">
    <cfRule type="expression" dxfId="11" priority="10">
      <formula>F47="Top 4"</formula>
    </cfRule>
    <cfRule type="expression" dxfId="10" priority="11">
      <formula>F47="Eliminated"</formula>
    </cfRule>
    <cfRule type="expression" dxfId="9" priority="12">
      <formula>F47="Pending"</formula>
    </cfRule>
  </conditionalFormatting>
  <conditionalFormatting sqref="F61:F66">
    <cfRule type="expression" dxfId="8" priority="13">
      <formula>F61="Top 4"</formula>
    </cfRule>
    <cfRule type="expression" dxfId="7" priority="14">
      <formula>F61="Eliminated"</formula>
    </cfRule>
    <cfRule type="expression" dxfId="6" priority="15">
      <formula>F61="Pending"</formula>
    </cfRule>
  </conditionalFormatting>
  <conditionalFormatting sqref="F75:F80">
    <cfRule type="expression" dxfId="5" priority="16">
      <formula>F75="Top 4"</formula>
    </cfRule>
    <cfRule type="expression" dxfId="4" priority="17">
      <formula>F75="Eliminated"</formula>
    </cfRule>
    <cfRule type="expression" dxfId="3" priority="18">
      <formula>F75="Pending"</formula>
    </cfRule>
  </conditionalFormatting>
  <conditionalFormatting sqref="F89:F94">
    <cfRule type="expression" dxfId="2" priority="19">
      <formula>F89="Top 4"</formula>
    </cfRule>
    <cfRule type="expression" dxfId="1" priority="20">
      <formula>F89="Eliminated"</formula>
    </cfRule>
    <cfRule type="expression" dxfId="0" priority="21">
      <formula>F89="Pending"</formula>
    </cfRule>
  </conditionalFormatting>
  <pageMargins left="0.7" right="0.7" top="0.75" bottom="0.75" header="0.3" footer="0.3"/>
  <pageSetup paperSize="8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5F05-250F-4D64-9CD5-3B98EE9D29B0}">
  <dimension ref="A1:H47"/>
  <sheetViews>
    <sheetView workbookViewId="0"/>
  </sheetViews>
  <sheetFormatPr baseColWidth="10" defaultColWidth="8.83203125" defaultRowHeight="15" x14ac:dyDescent="0.2"/>
  <cols>
    <col min="1" max="2" width="15.5" bestFit="1" customWidth="1"/>
    <col min="3" max="3" width="6.5" bestFit="1" customWidth="1"/>
    <col min="4" max="4" width="27.83203125" bestFit="1" customWidth="1"/>
    <col min="5" max="5" width="6" bestFit="1" customWidth="1"/>
    <col min="6" max="6" width="9.5" bestFit="1" customWidth="1"/>
    <col min="7" max="7" width="5.1640625" bestFit="1" customWidth="1"/>
    <col min="8" max="8" width="11.33203125" bestFit="1" customWidth="1"/>
  </cols>
  <sheetData>
    <row r="1" spans="1:8" x14ac:dyDescent="0.2">
      <c r="A1" s="7" t="s">
        <v>146</v>
      </c>
      <c r="B1" s="7" t="s">
        <v>147</v>
      </c>
      <c r="C1" s="7" t="s">
        <v>131</v>
      </c>
      <c r="D1" s="7" t="s">
        <v>148</v>
      </c>
      <c r="E1" s="7" t="s">
        <v>138</v>
      </c>
      <c r="F1" s="7" t="s">
        <v>133</v>
      </c>
      <c r="G1" s="7" t="s">
        <v>134</v>
      </c>
      <c r="H1" s="7" t="s">
        <v>135</v>
      </c>
    </row>
    <row r="2" spans="1:8" x14ac:dyDescent="0.2">
      <c r="A2" s="13" t="s">
        <v>15</v>
      </c>
      <c r="B2" s="13" t="s">
        <v>15</v>
      </c>
      <c r="C2" s="13" t="s">
        <v>2</v>
      </c>
      <c r="D2" s="13" t="s">
        <v>61</v>
      </c>
      <c r="E2" s="13">
        <f>'Format Scoreboards'!C5</f>
        <v>4</v>
      </c>
      <c r="F2" s="13">
        <f>'Format Scoreboards'!L5</f>
        <v>75</v>
      </c>
      <c r="G2" s="54">
        <f>'Format Scoreboards'!E5</f>
        <v>5</v>
      </c>
      <c r="H2" s="13" t="str">
        <f t="shared" ref="H2:H7" si="0">IF(G2&lt;=2,"Qualified","Not Qualified")</f>
        <v>Not Qualified</v>
      </c>
    </row>
    <row r="3" spans="1:8" x14ac:dyDescent="0.2">
      <c r="A3" s="13" t="s">
        <v>15</v>
      </c>
      <c r="B3" s="13" t="s">
        <v>15</v>
      </c>
      <c r="C3" s="13" t="s">
        <v>3</v>
      </c>
      <c r="D3" s="13" t="s">
        <v>113</v>
      </c>
      <c r="E3" s="13">
        <f>'Format Scoreboards'!C6</f>
        <v>8</v>
      </c>
      <c r="F3" s="13">
        <f>'Format Scoreboards'!L6</f>
        <v>90</v>
      </c>
      <c r="G3" s="54">
        <f>'Format Scoreboards'!E6</f>
        <v>2</v>
      </c>
      <c r="H3" s="13" t="str">
        <f t="shared" si="0"/>
        <v>Qualified</v>
      </c>
    </row>
    <row r="4" spans="1:8" x14ac:dyDescent="0.2">
      <c r="A4" s="13" t="s">
        <v>15</v>
      </c>
      <c r="B4" s="13" t="s">
        <v>15</v>
      </c>
      <c r="C4" s="13" t="s">
        <v>63</v>
      </c>
      <c r="D4" s="13" t="s">
        <v>65</v>
      </c>
      <c r="E4" s="13">
        <f>'Format Scoreboards'!C7</f>
        <v>4</v>
      </c>
      <c r="F4" s="13">
        <f>'Format Scoreboards'!L7</f>
        <v>86</v>
      </c>
      <c r="G4" s="54">
        <f>'Format Scoreboards'!E7</f>
        <v>4</v>
      </c>
      <c r="H4" s="13" t="str">
        <f t="shared" si="0"/>
        <v>Not Qualified</v>
      </c>
    </row>
    <row r="5" spans="1:8" x14ac:dyDescent="0.2">
      <c r="A5" s="13" t="s">
        <v>15</v>
      </c>
      <c r="B5" s="13" t="s">
        <v>15</v>
      </c>
      <c r="C5" s="13" t="s">
        <v>59</v>
      </c>
      <c r="D5" s="13" t="s">
        <v>62</v>
      </c>
      <c r="E5" s="13">
        <f>'Format Scoreboards'!C8</f>
        <v>4</v>
      </c>
      <c r="F5" s="13">
        <f>'Format Scoreboards'!L8</f>
        <v>97</v>
      </c>
      <c r="G5" s="54">
        <f>'Format Scoreboards'!E8</f>
        <v>3</v>
      </c>
      <c r="H5" s="13" t="str">
        <f t="shared" si="0"/>
        <v>Not Qualified</v>
      </c>
    </row>
    <row r="6" spans="1:8" x14ac:dyDescent="0.2">
      <c r="A6" s="13" t="s">
        <v>15</v>
      </c>
      <c r="B6" s="13" t="s">
        <v>15</v>
      </c>
      <c r="C6" s="13" t="s">
        <v>50</v>
      </c>
      <c r="D6" s="13" t="s">
        <v>56</v>
      </c>
      <c r="E6" s="13">
        <f>'Format Scoreboards'!C9</f>
        <v>0</v>
      </c>
      <c r="F6" s="13">
        <f>'Format Scoreboards'!L9</f>
        <v>62</v>
      </c>
      <c r="G6" s="54">
        <f>'Format Scoreboards'!E9</f>
        <v>6</v>
      </c>
      <c r="H6" s="13" t="str">
        <f t="shared" si="0"/>
        <v>Not Qualified</v>
      </c>
    </row>
    <row r="7" spans="1:8" x14ac:dyDescent="0.2">
      <c r="A7" s="13" t="s">
        <v>15</v>
      </c>
      <c r="B7" s="13" t="s">
        <v>15</v>
      </c>
      <c r="C7" s="13" t="s">
        <v>51</v>
      </c>
      <c r="D7" s="13" t="s">
        <v>57</v>
      </c>
      <c r="E7" s="13">
        <f>'Format Scoreboards'!C10</f>
        <v>10</v>
      </c>
      <c r="F7" s="13">
        <f>'Format Scoreboards'!L10</f>
        <v>105</v>
      </c>
      <c r="G7" s="54">
        <f>'Format Scoreboards'!E10</f>
        <v>1</v>
      </c>
      <c r="H7" s="13" t="str">
        <f t="shared" si="0"/>
        <v>Qualified</v>
      </c>
    </row>
    <row r="8" spans="1:8" x14ac:dyDescent="0.2">
      <c r="A8" s="13"/>
      <c r="B8" s="13"/>
      <c r="C8" s="13"/>
      <c r="D8" s="13"/>
      <c r="E8" s="13"/>
      <c r="F8" s="13"/>
      <c r="G8" s="13"/>
      <c r="H8" s="13"/>
    </row>
    <row r="9" spans="1:8" x14ac:dyDescent="0.2">
      <c r="A9" s="13" t="s">
        <v>16</v>
      </c>
      <c r="B9" s="13" t="s">
        <v>16</v>
      </c>
      <c r="C9" s="13" t="s">
        <v>2</v>
      </c>
      <c r="D9" s="13" t="s">
        <v>73</v>
      </c>
      <c r="E9" s="13">
        <f>'Format Scoreboards'!C19</f>
        <v>10</v>
      </c>
      <c r="F9" s="13">
        <f>'Format Scoreboards'!L19</f>
        <v>105</v>
      </c>
      <c r="G9" s="54">
        <f>'Format Scoreboards'!E19</f>
        <v>1</v>
      </c>
      <c r="H9" s="13" t="str">
        <f t="shared" ref="H9:H14" si="1">IF(G9&lt;=2,"Qualified","Not Qualified")</f>
        <v>Qualified</v>
      </c>
    </row>
    <row r="10" spans="1:8" x14ac:dyDescent="0.2">
      <c r="A10" s="13" t="s">
        <v>16</v>
      </c>
      <c r="B10" s="13" t="s">
        <v>16</v>
      </c>
      <c r="C10" s="13" t="s">
        <v>3</v>
      </c>
      <c r="D10" s="13" t="s">
        <v>117</v>
      </c>
      <c r="E10" s="13">
        <f>'Format Scoreboards'!C20</f>
        <v>6</v>
      </c>
      <c r="F10" s="13">
        <f>'Format Scoreboards'!L20</f>
        <v>81</v>
      </c>
      <c r="G10" s="54">
        <f>'Format Scoreboards'!E20</f>
        <v>3</v>
      </c>
      <c r="H10" s="13" t="str">
        <f t="shared" si="1"/>
        <v>Not Qualified</v>
      </c>
    </row>
    <row r="11" spans="1:8" x14ac:dyDescent="0.2">
      <c r="A11" s="13" t="s">
        <v>16</v>
      </c>
      <c r="B11" s="13" t="s">
        <v>16</v>
      </c>
      <c r="C11" s="13" t="s">
        <v>63</v>
      </c>
      <c r="D11" s="13" t="s">
        <v>91</v>
      </c>
      <c r="E11" s="13">
        <f>'Format Scoreboards'!C21</f>
        <v>2</v>
      </c>
      <c r="F11" s="13">
        <f>'Format Scoreboards'!L21</f>
        <v>75</v>
      </c>
      <c r="G11" s="54">
        <f>'Format Scoreboards'!E21</f>
        <v>5</v>
      </c>
      <c r="H11" s="13" t="str">
        <f t="shared" si="1"/>
        <v>Not Qualified</v>
      </c>
    </row>
    <row r="12" spans="1:8" x14ac:dyDescent="0.2">
      <c r="A12" s="13" t="s">
        <v>16</v>
      </c>
      <c r="B12" s="13" t="s">
        <v>16</v>
      </c>
      <c r="C12" s="13" t="s">
        <v>59</v>
      </c>
      <c r="D12" s="13" t="s">
        <v>74</v>
      </c>
      <c r="E12" s="13">
        <f>'Format Scoreboards'!C22</f>
        <v>6</v>
      </c>
      <c r="F12" s="13">
        <f>'Format Scoreboards'!L22</f>
        <v>96</v>
      </c>
      <c r="G12" s="54">
        <f>'Format Scoreboards'!E22</f>
        <v>2</v>
      </c>
      <c r="H12" s="13" t="str">
        <f t="shared" si="1"/>
        <v>Qualified</v>
      </c>
    </row>
    <row r="13" spans="1:8" x14ac:dyDescent="0.2">
      <c r="A13" s="13" t="s">
        <v>16</v>
      </c>
      <c r="B13" s="13" t="s">
        <v>16</v>
      </c>
      <c r="C13" s="13" t="s">
        <v>50</v>
      </c>
      <c r="D13" s="13" t="s">
        <v>122</v>
      </c>
      <c r="E13" s="13">
        <f>'Format Scoreboards'!C23</f>
        <v>0</v>
      </c>
      <c r="F13" s="13">
        <f>'Format Scoreboards'!L23</f>
        <v>62</v>
      </c>
      <c r="G13" s="54">
        <f>'Format Scoreboards'!E23</f>
        <v>6</v>
      </c>
      <c r="H13" s="13" t="str">
        <f t="shared" si="1"/>
        <v>Not Qualified</v>
      </c>
    </row>
    <row r="14" spans="1:8" x14ac:dyDescent="0.2">
      <c r="A14" s="13" t="s">
        <v>16</v>
      </c>
      <c r="B14" s="13" t="s">
        <v>16</v>
      </c>
      <c r="C14" s="13" t="s">
        <v>51</v>
      </c>
      <c r="D14" s="13" t="s">
        <v>89</v>
      </c>
      <c r="E14" s="13">
        <f>'Format Scoreboards'!C24</f>
        <v>4</v>
      </c>
      <c r="F14" s="13">
        <f>'Format Scoreboards'!L24</f>
        <v>71</v>
      </c>
      <c r="G14" s="54">
        <f>'Format Scoreboards'!E24</f>
        <v>4</v>
      </c>
      <c r="H14" s="13" t="str">
        <f t="shared" si="1"/>
        <v>Not Qualified</v>
      </c>
    </row>
    <row r="15" spans="1:8" x14ac:dyDescent="0.2">
      <c r="A15" s="13"/>
      <c r="B15" s="13"/>
      <c r="C15" s="13"/>
      <c r="D15" s="13"/>
      <c r="E15" s="13"/>
      <c r="F15" s="13"/>
      <c r="G15" s="13"/>
      <c r="H15" s="13"/>
    </row>
    <row r="16" spans="1:8" x14ac:dyDescent="0.2">
      <c r="A16" s="13" t="s">
        <v>17</v>
      </c>
      <c r="B16" s="13" t="s">
        <v>17</v>
      </c>
      <c r="C16" s="13" t="s">
        <v>2</v>
      </c>
      <c r="D16" s="13" t="s">
        <v>94</v>
      </c>
      <c r="E16" s="13">
        <f>'Format Scoreboards'!C33</f>
        <v>4</v>
      </c>
      <c r="F16" s="13">
        <f>'Format Scoreboards'!L33</f>
        <v>86</v>
      </c>
      <c r="G16" s="54">
        <f>'Format Scoreboards'!E33</f>
        <v>3</v>
      </c>
      <c r="H16" s="13" t="str">
        <f t="shared" ref="H16:H21" si="2">IF(G16&lt;=2,"Qualified","Not Qualified")</f>
        <v>Not Qualified</v>
      </c>
    </row>
    <row r="17" spans="1:8" x14ac:dyDescent="0.2">
      <c r="A17" s="13" t="s">
        <v>17</v>
      </c>
      <c r="B17" s="13" t="s">
        <v>17</v>
      </c>
      <c r="C17" s="13" t="s">
        <v>3</v>
      </c>
      <c r="D17" s="13" t="s">
        <v>68</v>
      </c>
      <c r="E17" s="13">
        <f>'Format Scoreboards'!C34</f>
        <v>8</v>
      </c>
      <c r="F17" s="13">
        <f>'Format Scoreboards'!L34</f>
        <v>100</v>
      </c>
      <c r="G17" s="54">
        <f>'Format Scoreboards'!E34</f>
        <v>2</v>
      </c>
      <c r="H17" s="13" t="str">
        <f t="shared" si="2"/>
        <v>Qualified</v>
      </c>
    </row>
    <row r="18" spans="1:8" x14ac:dyDescent="0.2">
      <c r="A18" s="13" t="s">
        <v>17</v>
      </c>
      <c r="B18" s="13" t="s">
        <v>17</v>
      </c>
      <c r="C18" s="13" t="s">
        <v>63</v>
      </c>
      <c r="D18" s="13" t="s">
        <v>69</v>
      </c>
      <c r="E18" s="13">
        <f>'Format Scoreboards'!C35</f>
        <v>10</v>
      </c>
      <c r="F18" s="13">
        <f>'Format Scoreboards'!L35</f>
        <v>105</v>
      </c>
      <c r="G18" s="54">
        <f>'Format Scoreboards'!E35</f>
        <v>1</v>
      </c>
      <c r="H18" s="13" t="str">
        <f t="shared" si="2"/>
        <v>Qualified</v>
      </c>
    </row>
    <row r="19" spans="1:8" x14ac:dyDescent="0.2">
      <c r="A19" s="13" t="s">
        <v>17</v>
      </c>
      <c r="B19" s="13" t="s">
        <v>17</v>
      </c>
      <c r="C19" s="13" t="s">
        <v>59</v>
      </c>
      <c r="D19" s="13" t="s">
        <v>95</v>
      </c>
      <c r="E19" s="13">
        <f>'Format Scoreboards'!C36</f>
        <v>4</v>
      </c>
      <c r="F19" s="13">
        <f>'Format Scoreboards'!L36</f>
        <v>90</v>
      </c>
      <c r="G19" s="54">
        <f>'Format Scoreboards'!E36</f>
        <v>4</v>
      </c>
      <c r="H19" s="13" t="str">
        <f t="shared" si="2"/>
        <v>Not Qualified</v>
      </c>
    </row>
    <row r="20" spans="1:8" x14ac:dyDescent="0.2">
      <c r="A20" s="13" t="s">
        <v>17</v>
      </c>
      <c r="B20" s="13" t="s">
        <v>17</v>
      </c>
      <c r="C20" s="13" t="s">
        <v>50</v>
      </c>
      <c r="D20" s="13" t="s">
        <v>53</v>
      </c>
      <c r="E20" s="13">
        <f>'Format Scoreboards'!C37</f>
        <v>4</v>
      </c>
      <c r="F20" s="13">
        <f>'Format Scoreboards'!L37</f>
        <v>84</v>
      </c>
      <c r="G20" s="54">
        <f>'Format Scoreboards'!E37</f>
        <v>5</v>
      </c>
      <c r="H20" s="13" t="str">
        <f t="shared" si="2"/>
        <v>Not Qualified</v>
      </c>
    </row>
    <row r="21" spans="1:8" x14ac:dyDescent="0.2">
      <c r="A21" s="13" t="s">
        <v>17</v>
      </c>
      <c r="B21" s="13" t="s">
        <v>17</v>
      </c>
      <c r="C21" s="13" t="s">
        <v>51</v>
      </c>
      <c r="D21" s="13" t="s">
        <v>54</v>
      </c>
      <c r="E21" s="13">
        <f>'Format Scoreboards'!C38</f>
        <v>0</v>
      </c>
      <c r="F21" s="13">
        <f>'Format Scoreboards'!L38</f>
        <v>61</v>
      </c>
      <c r="G21" s="54">
        <f>'Format Scoreboards'!E38</f>
        <v>6</v>
      </c>
      <c r="H21" s="13" t="str">
        <f t="shared" si="2"/>
        <v>Not Qualified</v>
      </c>
    </row>
    <row r="22" spans="1:8" x14ac:dyDescent="0.2">
      <c r="A22" s="13"/>
      <c r="B22" s="13"/>
      <c r="C22" s="13"/>
      <c r="D22" s="13"/>
      <c r="E22" s="13"/>
      <c r="F22" s="13"/>
      <c r="G22" s="13"/>
      <c r="H22" s="13"/>
    </row>
    <row r="23" spans="1:8" x14ac:dyDescent="0.2">
      <c r="A23" s="13" t="s">
        <v>149</v>
      </c>
      <c r="B23" s="13" t="s">
        <v>18</v>
      </c>
      <c r="C23" s="13" t="s">
        <v>2</v>
      </c>
      <c r="D23" s="13" t="s">
        <v>115</v>
      </c>
      <c r="E23" s="13">
        <f>'Format Scoreboards'!C47</f>
        <v>6</v>
      </c>
      <c r="F23" s="13">
        <f>'Format Scoreboards'!L47</f>
        <v>89</v>
      </c>
      <c r="G23" s="54">
        <f>'Format Scoreboards'!E47</f>
        <v>3</v>
      </c>
      <c r="H23" s="13" t="str">
        <f>IF(G23&lt;=4,"Qualified","Not Qualified")</f>
        <v>Qualified</v>
      </c>
    </row>
    <row r="24" spans="1:8" x14ac:dyDescent="0.2">
      <c r="A24" s="13" t="s">
        <v>149</v>
      </c>
      <c r="B24" s="13" t="s">
        <v>18</v>
      </c>
      <c r="C24" s="13" t="s">
        <v>3</v>
      </c>
      <c r="D24" s="13" t="s">
        <v>98</v>
      </c>
      <c r="E24" s="13">
        <f>'Format Scoreboards'!C48</f>
        <v>0</v>
      </c>
      <c r="F24" s="13">
        <f>'Format Scoreboards'!L48</f>
        <v>37</v>
      </c>
      <c r="G24" s="54">
        <f>'Format Scoreboards'!E48</f>
        <v>6</v>
      </c>
      <c r="H24" s="13" t="str">
        <f t="shared" ref="H24:H34" si="3">IF(G24&lt;=4,"Qualified","Not Qualified")</f>
        <v>Not Qualified</v>
      </c>
    </row>
    <row r="25" spans="1:8" x14ac:dyDescent="0.2">
      <c r="A25" s="13" t="s">
        <v>149</v>
      </c>
      <c r="B25" s="13" t="s">
        <v>18</v>
      </c>
      <c r="C25" s="13" t="s">
        <v>63</v>
      </c>
      <c r="D25" s="13" t="s">
        <v>96</v>
      </c>
      <c r="E25" s="13">
        <f>'Format Scoreboards'!C49</f>
        <v>8</v>
      </c>
      <c r="F25" s="13">
        <f>'Format Scoreboards'!L49</f>
        <v>98</v>
      </c>
      <c r="G25" s="54">
        <f>'Format Scoreboards'!E49</f>
        <v>2</v>
      </c>
      <c r="H25" s="13" t="str">
        <f t="shared" si="3"/>
        <v>Qualified</v>
      </c>
    </row>
    <row r="26" spans="1:8" x14ac:dyDescent="0.2">
      <c r="A26" s="13" t="s">
        <v>149</v>
      </c>
      <c r="B26" s="13" t="s">
        <v>18</v>
      </c>
      <c r="C26" s="13" t="s">
        <v>59</v>
      </c>
      <c r="D26" s="13" t="s">
        <v>97</v>
      </c>
      <c r="E26" s="13">
        <f>'Format Scoreboards'!C50</f>
        <v>4</v>
      </c>
      <c r="F26" s="13">
        <f>'Format Scoreboards'!L50</f>
        <v>83</v>
      </c>
      <c r="G26" s="54">
        <f>'Format Scoreboards'!E50</f>
        <v>5</v>
      </c>
      <c r="H26" s="13" t="str">
        <f t="shared" si="3"/>
        <v>Not Qualified</v>
      </c>
    </row>
    <row r="27" spans="1:8" x14ac:dyDescent="0.2">
      <c r="A27" s="13" t="s">
        <v>149</v>
      </c>
      <c r="B27" s="13" t="s">
        <v>18</v>
      </c>
      <c r="C27" s="13" t="s">
        <v>50</v>
      </c>
      <c r="D27" s="13" t="s">
        <v>109</v>
      </c>
      <c r="E27" s="13">
        <f>'Format Scoreboards'!C51</f>
        <v>8</v>
      </c>
      <c r="F27" s="13">
        <f>'Format Scoreboards'!L51</f>
        <v>99</v>
      </c>
      <c r="G27" s="54">
        <f>'Format Scoreboards'!E51</f>
        <v>1</v>
      </c>
      <c r="H27" s="13" t="str">
        <f t="shared" si="3"/>
        <v>Qualified</v>
      </c>
    </row>
    <row r="28" spans="1:8" x14ac:dyDescent="0.2">
      <c r="A28" s="13" t="s">
        <v>149</v>
      </c>
      <c r="B28" s="13" t="s">
        <v>18</v>
      </c>
      <c r="C28" s="13" t="s">
        <v>51</v>
      </c>
      <c r="D28" s="13" t="s">
        <v>105</v>
      </c>
      <c r="E28" s="13">
        <f>'Format Scoreboards'!C52</f>
        <v>4</v>
      </c>
      <c r="F28" s="13">
        <f>'Format Scoreboards'!L52</f>
        <v>91</v>
      </c>
      <c r="G28" s="54">
        <f>'Format Scoreboards'!E52</f>
        <v>4</v>
      </c>
      <c r="H28" s="13" t="str">
        <f t="shared" si="3"/>
        <v>Qualified</v>
      </c>
    </row>
    <row r="29" spans="1:8" x14ac:dyDescent="0.2">
      <c r="A29" s="13" t="s">
        <v>149</v>
      </c>
      <c r="B29" s="13" t="s">
        <v>19</v>
      </c>
      <c r="C29" s="13" t="s">
        <v>2</v>
      </c>
      <c r="D29" s="13" t="s">
        <v>70</v>
      </c>
      <c r="E29" s="13">
        <f>'Format Scoreboards'!C61</f>
        <v>6</v>
      </c>
      <c r="F29" s="13">
        <f>'Format Scoreboards'!L61</f>
        <v>84</v>
      </c>
      <c r="G29" s="54">
        <f>'Format Scoreboards'!E61</f>
        <v>3</v>
      </c>
      <c r="H29" s="13" t="str">
        <f t="shared" si="3"/>
        <v>Qualified</v>
      </c>
    </row>
    <row r="30" spans="1:8" x14ac:dyDescent="0.2">
      <c r="A30" s="13" t="s">
        <v>149</v>
      </c>
      <c r="B30" s="13" t="s">
        <v>19</v>
      </c>
      <c r="C30" s="13" t="s">
        <v>3</v>
      </c>
      <c r="D30" s="13" t="s">
        <v>103</v>
      </c>
      <c r="E30" s="13">
        <f>'Format Scoreboards'!C62</f>
        <v>0</v>
      </c>
      <c r="F30" s="13">
        <f>'Format Scoreboards'!L62</f>
        <v>32</v>
      </c>
      <c r="G30" s="54">
        <f>'Format Scoreboards'!E62</f>
        <v>6</v>
      </c>
      <c r="H30" s="13" t="str">
        <f t="shared" si="3"/>
        <v>Not Qualified</v>
      </c>
    </row>
    <row r="31" spans="1:8" x14ac:dyDescent="0.2">
      <c r="A31" s="13" t="s">
        <v>149</v>
      </c>
      <c r="B31" s="13" t="s">
        <v>19</v>
      </c>
      <c r="C31" s="13" t="s">
        <v>63</v>
      </c>
      <c r="D31" s="13" t="s">
        <v>78</v>
      </c>
      <c r="E31" s="13">
        <f>'Format Scoreboards'!C63</f>
        <v>2</v>
      </c>
      <c r="F31" s="13">
        <f>'Format Scoreboards'!L63</f>
        <v>75</v>
      </c>
      <c r="G31" s="54">
        <f>'Format Scoreboards'!E63</f>
        <v>5</v>
      </c>
      <c r="H31" s="13" t="str">
        <f t="shared" si="3"/>
        <v>Not Qualified</v>
      </c>
    </row>
    <row r="32" spans="1:8" x14ac:dyDescent="0.2">
      <c r="A32" s="13" t="s">
        <v>149</v>
      </c>
      <c r="B32" s="13" t="s">
        <v>19</v>
      </c>
      <c r="C32" s="13" t="s">
        <v>59</v>
      </c>
      <c r="D32" s="13" t="s">
        <v>71</v>
      </c>
      <c r="E32" s="13">
        <f>'Format Scoreboards'!C64</f>
        <v>10</v>
      </c>
      <c r="F32" s="13">
        <f>'Format Scoreboards'!L64</f>
        <v>105</v>
      </c>
      <c r="G32" s="54">
        <f>'Format Scoreboards'!E64</f>
        <v>1</v>
      </c>
      <c r="H32" s="13" t="str">
        <f t="shared" si="3"/>
        <v>Qualified</v>
      </c>
    </row>
    <row r="33" spans="1:8" x14ac:dyDescent="0.2">
      <c r="A33" s="13" t="s">
        <v>149</v>
      </c>
      <c r="B33" s="13" t="s">
        <v>19</v>
      </c>
      <c r="C33" s="13" t="s">
        <v>50</v>
      </c>
      <c r="D33" s="13" t="s">
        <v>79</v>
      </c>
      <c r="E33" s="13">
        <f>'Format Scoreboards'!C65</f>
        <v>8</v>
      </c>
      <c r="F33" s="13">
        <f>'Format Scoreboards'!L65</f>
        <v>97</v>
      </c>
      <c r="G33" s="54">
        <f>'Format Scoreboards'!E65</f>
        <v>2</v>
      </c>
      <c r="H33" s="13" t="str">
        <f t="shared" si="3"/>
        <v>Qualified</v>
      </c>
    </row>
    <row r="34" spans="1:8" x14ac:dyDescent="0.2">
      <c r="A34" s="13" t="s">
        <v>149</v>
      </c>
      <c r="B34" s="13" t="s">
        <v>19</v>
      </c>
      <c r="C34" s="13" t="s">
        <v>51</v>
      </c>
      <c r="D34" s="13" t="s">
        <v>104</v>
      </c>
      <c r="E34" s="13">
        <f>'Format Scoreboards'!C66</f>
        <v>4</v>
      </c>
      <c r="F34" s="13">
        <f>'Format Scoreboards'!L66</f>
        <v>74</v>
      </c>
      <c r="G34" s="54">
        <f>'Format Scoreboards'!E66</f>
        <v>4</v>
      </c>
      <c r="H34" s="13" t="str">
        <f t="shared" si="3"/>
        <v>Qualified</v>
      </c>
    </row>
    <row r="35" spans="1:8" x14ac:dyDescent="0.2">
      <c r="A35" s="13"/>
      <c r="B35" s="13"/>
      <c r="C35" s="13"/>
      <c r="D35" s="13"/>
      <c r="E35" s="13"/>
      <c r="F35" s="13"/>
      <c r="G35" s="13"/>
      <c r="H35" s="13"/>
    </row>
    <row r="36" spans="1:8" x14ac:dyDescent="0.2">
      <c r="A36" s="13" t="s">
        <v>150</v>
      </c>
      <c r="B36" s="13" t="s">
        <v>20</v>
      </c>
      <c r="C36" s="13" t="s">
        <v>2</v>
      </c>
      <c r="D36" s="13" t="s">
        <v>86</v>
      </c>
      <c r="E36" s="13">
        <f>'Format Scoreboards'!C75</f>
        <v>2</v>
      </c>
      <c r="F36" s="13">
        <f>'Format Scoreboards'!L75</f>
        <v>84</v>
      </c>
      <c r="G36" s="54">
        <f>'Format Scoreboards'!E75</f>
        <v>5</v>
      </c>
      <c r="H36" s="13" t="str">
        <f>IF(G36&lt;=4,"Qualified","Not Qualified")</f>
        <v>Not Qualified</v>
      </c>
    </row>
    <row r="37" spans="1:8" x14ac:dyDescent="0.2">
      <c r="A37" s="13" t="s">
        <v>150</v>
      </c>
      <c r="B37" s="13" t="s">
        <v>20</v>
      </c>
      <c r="C37" s="13" t="s">
        <v>3</v>
      </c>
      <c r="D37" s="13" t="s">
        <v>151</v>
      </c>
      <c r="E37" s="13">
        <f>'Format Scoreboards'!C76</f>
        <v>10</v>
      </c>
      <c r="F37" s="13">
        <f>'Format Scoreboards'!L76</f>
        <v>105</v>
      </c>
      <c r="G37" s="54">
        <f>'Format Scoreboards'!E76</f>
        <v>1</v>
      </c>
      <c r="H37" s="13" t="str">
        <f t="shared" ref="H37:H47" si="4">IF(G37&lt;=4,"Qualified","Not Qualified")</f>
        <v>Qualified</v>
      </c>
    </row>
    <row r="38" spans="1:8" x14ac:dyDescent="0.2">
      <c r="A38" s="13" t="s">
        <v>150</v>
      </c>
      <c r="B38" s="13" t="s">
        <v>20</v>
      </c>
      <c r="C38" s="13" t="s">
        <v>63</v>
      </c>
      <c r="D38" s="13" t="s">
        <v>93</v>
      </c>
      <c r="E38" s="13">
        <f>'Format Scoreboards'!C77</f>
        <v>8</v>
      </c>
      <c r="F38" s="13">
        <f>'Format Scoreboards'!L77</f>
        <v>100</v>
      </c>
      <c r="G38" s="54">
        <f>'Format Scoreboards'!E77</f>
        <v>2</v>
      </c>
      <c r="H38" s="13" t="str">
        <f t="shared" si="4"/>
        <v>Qualified</v>
      </c>
    </row>
    <row r="39" spans="1:8" x14ac:dyDescent="0.2">
      <c r="A39" s="13" t="s">
        <v>150</v>
      </c>
      <c r="B39" s="13" t="s">
        <v>20</v>
      </c>
      <c r="C39" s="13" t="s">
        <v>59</v>
      </c>
      <c r="D39" s="13" t="s">
        <v>116</v>
      </c>
      <c r="E39" s="13">
        <f>'Format Scoreboards'!C78</f>
        <v>6</v>
      </c>
      <c r="F39" s="13">
        <f>'Format Scoreboards'!L78</f>
        <v>93</v>
      </c>
      <c r="G39" s="54">
        <f>'Format Scoreboards'!E78</f>
        <v>3</v>
      </c>
      <c r="H39" s="13" t="str">
        <f t="shared" si="4"/>
        <v>Qualified</v>
      </c>
    </row>
    <row r="40" spans="1:8" x14ac:dyDescent="0.2">
      <c r="A40" s="13" t="s">
        <v>150</v>
      </c>
      <c r="B40" s="13" t="s">
        <v>20</v>
      </c>
      <c r="C40" s="13" t="s">
        <v>50</v>
      </c>
      <c r="D40" s="13" t="s">
        <v>80</v>
      </c>
      <c r="E40" s="13">
        <f>'Format Scoreboards'!C79</f>
        <v>0</v>
      </c>
      <c r="F40" s="13">
        <f>'Format Scoreboards'!L79</f>
        <v>63</v>
      </c>
      <c r="G40" s="54">
        <f>'Format Scoreboards'!E79</f>
        <v>6</v>
      </c>
      <c r="H40" s="13" t="str">
        <f t="shared" si="4"/>
        <v>Not Qualified</v>
      </c>
    </row>
    <row r="41" spans="1:8" x14ac:dyDescent="0.2">
      <c r="A41" s="13" t="s">
        <v>150</v>
      </c>
      <c r="B41" s="13" t="s">
        <v>20</v>
      </c>
      <c r="C41" s="13" t="s">
        <v>51</v>
      </c>
      <c r="D41" s="13" t="s">
        <v>152</v>
      </c>
      <c r="E41" s="13">
        <f>'Format Scoreboards'!C80</f>
        <v>4</v>
      </c>
      <c r="F41" s="13">
        <f>'Format Scoreboards'!L80</f>
        <v>94</v>
      </c>
      <c r="G41" s="54">
        <f>'Format Scoreboards'!E80</f>
        <v>4</v>
      </c>
      <c r="H41" s="13" t="str">
        <f t="shared" si="4"/>
        <v>Qualified</v>
      </c>
    </row>
    <row r="42" spans="1:8" x14ac:dyDescent="0.2">
      <c r="A42" s="13" t="s">
        <v>150</v>
      </c>
      <c r="B42" s="13" t="s">
        <v>21</v>
      </c>
      <c r="C42" s="13" t="s">
        <v>2</v>
      </c>
      <c r="D42" s="13" t="s">
        <v>100</v>
      </c>
      <c r="E42" s="13">
        <f>'Format Scoreboards'!C89</f>
        <v>2</v>
      </c>
      <c r="F42" s="13">
        <f>'Format Scoreboards'!L89</f>
        <v>62</v>
      </c>
      <c r="G42" s="54">
        <f>'Format Scoreboards'!E89</f>
        <v>5</v>
      </c>
      <c r="H42" s="13" t="str">
        <f t="shared" si="4"/>
        <v>Not Qualified</v>
      </c>
    </row>
    <row r="43" spans="1:8" x14ac:dyDescent="0.2">
      <c r="A43" s="13" t="s">
        <v>150</v>
      </c>
      <c r="B43" s="13" t="s">
        <v>21</v>
      </c>
      <c r="C43" s="13" t="s">
        <v>3</v>
      </c>
      <c r="D43" s="13" t="s">
        <v>83</v>
      </c>
      <c r="E43" s="13">
        <f>'Format Scoreboards'!C90</f>
        <v>6</v>
      </c>
      <c r="F43" s="13">
        <f>'Format Scoreboards'!L90</f>
        <v>94</v>
      </c>
      <c r="G43" s="54">
        <f>'Format Scoreboards'!E90</f>
        <v>3</v>
      </c>
      <c r="H43" s="13" t="str">
        <f t="shared" si="4"/>
        <v>Qualified</v>
      </c>
    </row>
    <row r="44" spans="1:8" x14ac:dyDescent="0.2">
      <c r="A44" s="13" t="s">
        <v>150</v>
      </c>
      <c r="B44" s="13" t="s">
        <v>21</v>
      </c>
      <c r="C44" s="13" t="s">
        <v>63</v>
      </c>
      <c r="D44" s="13" t="s">
        <v>107</v>
      </c>
      <c r="E44" s="13">
        <f>'Format Scoreboards'!C91</f>
        <v>8</v>
      </c>
      <c r="F44" s="13">
        <f>'Format Scoreboards'!L91</f>
        <v>104</v>
      </c>
      <c r="G44" s="54">
        <f>'Format Scoreboards'!E91</f>
        <v>2</v>
      </c>
      <c r="H44" s="13" t="str">
        <f t="shared" si="4"/>
        <v>Qualified</v>
      </c>
    </row>
    <row r="45" spans="1:8" x14ac:dyDescent="0.2">
      <c r="A45" s="13" t="s">
        <v>150</v>
      </c>
      <c r="B45" s="13" t="s">
        <v>21</v>
      </c>
      <c r="C45" s="13" t="s">
        <v>59</v>
      </c>
      <c r="D45" s="13" t="s">
        <v>84</v>
      </c>
      <c r="E45" s="13">
        <f>'Format Scoreboards'!C92</f>
        <v>4</v>
      </c>
      <c r="F45" s="13">
        <f>'Format Scoreboards'!L92</f>
        <v>91</v>
      </c>
      <c r="G45" s="54">
        <f>'Format Scoreboards'!E92</f>
        <v>4</v>
      </c>
      <c r="H45" s="13" t="str">
        <f t="shared" si="4"/>
        <v>Qualified</v>
      </c>
    </row>
    <row r="46" spans="1:8" x14ac:dyDescent="0.2">
      <c r="A46" s="13" t="s">
        <v>150</v>
      </c>
      <c r="B46" s="13" t="s">
        <v>21</v>
      </c>
      <c r="C46" s="13" t="s">
        <v>50</v>
      </c>
      <c r="D46" s="13" t="s">
        <v>108</v>
      </c>
      <c r="E46" s="13">
        <f>'Format Scoreboards'!C93</f>
        <v>0</v>
      </c>
      <c r="F46" s="13">
        <f>'Format Scoreboards'!L93</f>
        <v>45</v>
      </c>
      <c r="G46" s="54">
        <f>'Format Scoreboards'!E93</f>
        <v>6</v>
      </c>
      <c r="H46" s="13" t="str">
        <f t="shared" si="4"/>
        <v>Not Qualified</v>
      </c>
    </row>
    <row r="47" spans="1:8" x14ac:dyDescent="0.2">
      <c r="A47" s="13" t="s">
        <v>150</v>
      </c>
      <c r="B47" s="13" t="s">
        <v>21</v>
      </c>
      <c r="C47" s="13" t="s">
        <v>51</v>
      </c>
      <c r="D47" s="13" t="s">
        <v>101</v>
      </c>
      <c r="E47" s="13">
        <f>'Format Scoreboards'!C94</f>
        <v>8</v>
      </c>
      <c r="F47" s="13">
        <f>'Format Scoreboards'!L94</f>
        <v>84</v>
      </c>
      <c r="G47" s="54">
        <f>'Format Scoreboards'!E94</f>
        <v>1</v>
      </c>
      <c r="H47" s="13" t="str">
        <f t="shared" si="4"/>
        <v>Qualified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B811-43F6-40AF-9C49-487E0D1B9ADB}">
  <dimension ref="A1:G47"/>
  <sheetViews>
    <sheetView workbookViewId="0">
      <selection activeCell="F8" sqref="F8"/>
    </sheetView>
  </sheetViews>
  <sheetFormatPr baseColWidth="10" defaultColWidth="8.6640625" defaultRowHeight="12" x14ac:dyDescent="0.15"/>
  <cols>
    <col min="1" max="1" width="11.83203125" style="14" bestFit="1" customWidth="1"/>
    <col min="2" max="2" width="20.5" style="14" bestFit="1" customWidth="1"/>
    <col min="3" max="3" width="27.83203125" style="14" bestFit="1" customWidth="1"/>
    <col min="4" max="4" width="15.5" style="14" bestFit="1" customWidth="1"/>
    <col min="5" max="5" width="9.1640625" style="14" bestFit="1" customWidth="1"/>
    <col min="6" max="6" width="19.1640625" style="14" bestFit="1" customWidth="1"/>
    <col min="7" max="7" width="20.5" style="14" bestFit="1" customWidth="1"/>
    <col min="8" max="16384" width="8.6640625" style="14"/>
  </cols>
  <sheetData>
    <row r="1" spans="1:7" x14ac:dyDescent="0.15">
      <c r="A1" s="66" t="s">
        <v>153</v>
      </c>
      <c r="B1" s="66"/>
      <c r="C1" s="66"/>
      <c r="D1" s="66"/>
      <c r="E1" s="66"/>
      <c r="F1" s="66"/>
      <c r="G1" s="66"/>
    </row>
    <row r="2" spans="1:7" ht="29.25" customHeight="1" x14ac:dyDescent="0.15">
      <c r="A2" s="67" t="s">
        <v>242</v>
      </c>
      <c r="B2" s="67"/>
      <c r="C2" s="67"/>
      <c r="D2" s="67"/>
      <c r="E2" s="67"/>
      <c r="F2" s="67"/>
      <c r="G2" s="67"/>
    </row>
    <row r="3" spans="1:7" x14ac:dyDescent="0.15">
      <c r="A3" s="17"/>
      <c r="B3" s="17"/>
      <c r="C3" s="17"/>
      <c r="D3" s="17"/>
      <c r="E3" s="17"/>
      <c r="F3" s="17"/>
      <c r="G3" s="17"/>
    </row>
    <row r="4" spans="1:7" x14ac:dyDescent="0.15">
      <c r="A4" s="65" t="s">
        <v>154</v>
      </c>
      <c r="B4" s="65"/>
      <c r="C4" s="65"/>
      <c r="D4" s="65"/>
      <c r="E4" s="65"/>
      <c r="F4" s="65"/>
      <c r="G4" s="65"/>
    </row>
    <row r="5" spans="1:7" x14ac:dyDescent="0.15">
      <c r="A5" s="23" t="s">
        <v>134</v>
      </c>
      <c r="B5" s="23" t="s">
        <v>148</v>
      </c>
      <c r="C5" s="23" t="s">
        <v>131</v>
      </c>
      <c r="D5" s="23" t="s">
        <v>147</v>
      </c>
      <c r="E5" s="23" t="s">
        <v>138</v>
      </c>
      <c r="F5" s="23" t="s">
        <v>133</v>
      </c>
      <c r="G5" s="23" t="s">
        <v>155</v>
      </c>
    </row>
    <row r="6" spans="1:7" x14ac:dyDescent="0.15">
      <c r="A6" s="17">
        <v>1</v>
      </c>
      <c r="B6" s="17" t="str">
        <f>INDEX('Qualification Data'!$D$2:$D$7,MATCH($A6,'Qualification Data'!$G$2:$G$7,0))</f>
        <v>Neha P Jain</v>
      </c>
      <c r="C6" s="17" t="str">
        <f>INDEX('Qualification Data'!$C$2:$C$7,MATCH($A6,'Qualification Data'!$G$2:$G$7,0))</f>
        <v>Team 6</v>
      </c>
      <c r="D6" s="17" t="str">
        <f>INDEX('Qualification Data'!$B$2:$B$7,MATCH($A6,'Qualification Data'!$G$2:$G$7,0))</f>
        <v>Women's Singles</v>
      </c>
      <c r="E6" s="17">
        <f>INDEX('Qualification Data'!$E$2:$E$7,MATCH($A6,'Qualification Data'!$G$2:$G$7,0))</f>
        <v>10</v>
      </c>
      <c r="F6" s="17">
        <f>INDEX('Qualification Data'!$F$2:$F$7,MATCH($A6,'Qualification Data'!$G$2:$G$7,0))</f>
        <v>105</v>
      </c>
      <c r="G6" s="17" t="s">
        <v>156</v>
      </c>
    </row>
    <row r="7" spans="1:7" x14ac:dyDescent="0.15">
      <c r="A7" s="17">
        <v>2</v>
      </c>
      <c r="B7" s="17" t="str">
        <f>INDEX('Qualification Data'!$D$2:$D$7,MATCH($A7,'Qualification Data'!$G$2:$G$7,0))</f>
        <v>Vaishnavi M</v>
      </c>
      <c r="C7" s="17" t="str">
        <f>INDEX('Qualification Data'!$C$2:$C$7,MATCH($A7,'Qualification Data'!$G$2:$G$7,0))</f>
        <v>Team 2</v>
      </c>
      <c r="D7" s="17" t="str">
        <f>INDEX('Qualification Data'!$B$2:$B$7,MATCH($A7,'Qualification Data'!$G$2:$G$7,0))</f>
        <v>Women's Singles</v>
      </c>
      <c r="E7" s="17">
        <f>INDEX('Qualification Data'!$E$2:$E$7,MATCH($A7,'Qualification Data'!$G$2:$G$7,0))</f>
        <v>8</v>
      </c>
      <c r="F7" s="17">
        <f>INDEX('Qualification Data'!$F$2:$F$7,MATCH($A7,'Qualification Data'!$G$2:$G$7,0))</f>
        <v>90</v>
      </c>
      <c r="G7" s="17" t="s">
        <v>156</v>
      </c>
    </row>
    <row r="8" spans="1:7" x14ac:dyDescent="0.15">
      <c r="A8" s="17">
        <v>3</v>
      </c>
      <c r="B8" s="17" t="str">
        <f>INDEX('Qualification Data'!$D$2:$D$7,MATCH($A8,'Qualification Data'!$G$2:$G$7,0))</f>
        <v>Subashree</v>
      </c>
      <c r="C8" s="17" t="str">
        <f>INDEX('Qualification Data'!$C$2:$C$7,MATCH($A8,'Qualification Data'!$G$2:$G$7,0))</f>
        <v>Team 4</v>
      </c>
      <c r="D8" s="17" t="str">
        <f>INDEX('Qualification Data'!$B$2:$B$7,MATCH($A8,'Qualification Data'!$G$2:$G$7,0))</f>
        <v>Women's Singles</v>
      </c>
      <c r="E8" s="17">
        <f>INDEX('Qualification Data'!$E$2:$E$7,MATCH($A8,'Qualification Data'!$G$2:$G$7,0))</f>
        <v>4</v>
      </c>
      <c r="F8" s="17">
        <f>INDEX('Qualification Data'!$F$2:$F$7,MATCH($A8,'Qualification Data'!$G$2:$G$7,0))</f>
        <v>97</v>
      </c>
      <c r="G8" s="17" t="s">
        <v>156</v>
      </c>
    </row>
    <row r="9" spans="1:7" x14ac:dyDescent="0.15">
      <c r="A9" s="17">
        <v>4</v>
      </c>
      <c r="B9" s="17" t="str">
        <f>INDEX('Qualification Data'!$D$2:$D$7,MATCH($A9,'Qualification Data'!$G$2:$G$7,0))</f>
        <v>Mamta</v>
      </c>
      <c r="C9" s="17" t="str">
        <f>INDEX('Qualification Data'!$C$2:$C$7,MATCH($A9,'Qualification Data'!$G$2:$G$7,0))</f>
        <v>Team 3</v>
      </c>
      <c r="D9" s="17" t="str">
        <f>INDEX('Qualification Data'!$B$2:$B$7,MATCH($A9,'Qualification Data'!$G$2:$G$7,0))</f>
        <v>Women's Singles</v>
      </c>
      <c r="E9" s="17">
        <f>INDEX('Qualification Data'!$E$2:$E$7,MATCH($A9,'Qualification Data'!$G$2:$G$7,0))</f>
        <v>4</v>
      </c>
      <c r="F9" s="17">
        <f>INDEX('Qualification Data'!$F$2:$F$7,MATCH($A9,'Qualification Data'!$G$2:$G$7,0))</f>
        <v>86</v>
      </c>
      <c r="G9" s="17" t="s">
        <v>156</v>
      </c>
    </row>
    <row r="10" spans="1:7" x14ac:dyDescent="0.15">
      <c r="A10" s="17"/>
      <c r="B10" s="17"/>
      <c r="C10" s="17"/>
      <c r="D10" s="17"/>
      <c r="E10" s="17"/>
      <c r="F10" s="17"/>
      <c r="G10" s="17"/>
    </row>
    <row r="11" spans="1:7" x14ac:dyDescent="0.15">
      <c r="A11" s="65" t="s">
        <v>157</v>
      </c>
      <c r="B11" s="65"/>
      <c r="C11" s="65"/>
      <c r="D11" s="65"/>
      <c r="E11" s="65"/>
      <c r="F11" s="65"/>
      <c r="G11" s="65"/>
    </row>
    <row r="12" spans="1:7" x14ac:dyDescent="0.15">
      <c r="A12" s="23" t="s">
        <v>134</v>
      </c>
      <c r="B12" s="23" t="s">
        <v>148</v>
      </c>
      <c r="C12" s="23" t="s">
        <v>131</v>
      </c>
      <c r="D12" s="23" t="s">
        <v>147</v>
      </c>
      <c r="E12" s="23" t="s">
        <v>138</v>
      </c>
      <c r="F12" s="23" t="s">
        <v>133</v>
      </c>
      <c r="G12" s="23" t="s">
        <v>155</v>
      </c>
    </row>
    <row r="13" spans="1:7" x14ac:dyDescent="0.15">
      <c r="A13" s="17">
        <v>1</v>
      </c>
      <c r="B13" s="17" t="str">
        <f>INDEX('Qualification Data'!$D$9:$D$14,MATCH($A13,'Qualification Data'!$G$9:$G$14,0))</f>
        <v>Amrutha + Neha</v>
      </c>
      <c r="C13" s="17" t="str">
        <f>INDEX('Qualification Data'!$C$9:$C$14,MATCH($A13,'Qualification Data'!$G$9:$G$14,0))</f>
        <v>Team 1</v>
      </c>
      <c r="D13" s="17" t="str">
        <f>INDEX('Qualification Data'!$B$9:$B$14,MATCH($A13,'Qualification Data'!$G$9:$G$14,0))</f>
        <v>Women's Doubles</v>
      </c>
      <c r="E13" s="17">
        <f>INDEX('Qualification Data'!$E$9:$E$14,MATCH($A13,'Qualification Data'!$G$9:$G$14,0))</f>
        <v>10</v>
      </c>
      <c r="F13" s="17">
        <f>INDEX('Qualification Data'!$F$9:$F$14,MATCH($A13,'Qualification Data'!$G$9:$G$14,0))</f>
        <v>105</v>
      </c>
      <c r="G13" s="17" t="s">
        <v>156</v>
      </c>
    </row>
    <row r="14" spans="1:7" x14ac:dyDescent="0.15">
      <c r="A14" s="17">
        <v>2</v>
      </c>
      <c r="B14" s="17" t="str">
        <f>INDEX('Qualification Data'!$D$9:$D$14,MATCH($A14,'Qualification Data'!$G$9:$G$14,0))</f>
        <v>Subashree + Sanjana</v>
      </c>
      <c r="C14" s="17" t="str">
        <f>INDEX('Qualification Data'!$C$9:$C$14,MATCH($A14,'Qualification Data'!$G$9:$G$14,0))</f>
        <v>Team 4</v>
      </c>
      <c r="D14" s="17" t="str">
        <f>INDEX('Qualification Data'!$B$9:$B$14,MATCH($A14,'Qualification Data'!$G$9:$G$14,0))</f>
        <v>Women's Doubles</v>
      </c>
      <c r="E14" s="17">
        <f>INDEX('Qualification Data'!$E$9:$E$14,MATCH($A14,'Qualification Data'!$G$9:$G$14,0))</f>
        <v>6</v>
      </c>
      <c r="F14" s="17">
        <f>INDEX('Qualification Data'!$F$9:$F$14,MATCH($A14,'Qualification Data'!$G$9:$G$14,0))</f>
        <v>96</v>
      </c>
      <c r="G14" s="17" t="s">
        <v>156</v>
      </c>
    </row>
    <row r="15" spans="1:7" x14ac:dyDescent="0.15">
      <c r="A15" s="17">
        <v>3</v>
      </c>
      <c r="B15" s="17" t="str">
        <f>INDEX('Qualification Data'!$D$9:$D$14,MATCH($A15,'Qualification Data'!$G$9:$G$14,0))</f>
        <v>Vaishnavi M + Keerthana</v>
      </c>
      <c r="C15" s="17" t="str">
        <f>INDEX('Qualification Data'!$C$9:$C$14,MATCH($A15,'Qualification Data'!$G$9:$G$14,0))</f>
        <v>Team 2</v>
      </c>
      <c r="D15" s="17" t="str">
        <f>INDEX('Qualification Data'!$B$9:$B$14,MATCH($A15,'Qualification Data'!$G$9:$G$14,0))</f>
        <v>Women's Doubles</v>
      </c>
      <c r="E15" s="17">
        <f>INDEX('Qualification Data'!$E$9:$E$14,MATCH($A15,'Qualification Data'!$G$9:$G$14,0))</f>
        <v>6</v>
      </c>
      <c r="F15" s="17">
        <f>INDEX('Qualification Data'!$F$9:$F$14,MATCH($A15,'Qualification Data'!$G$9:$G$14,0))</f>
        <v>81</v>
      </c>
      <c r="G15" s="17" t="s">
        <v>156</v>
      </c>
    </row>
    <row r="16" spans="1:7" x14ac:dyDescent="0.15">
      <c r="A16" s="17">
        <v>4</v>
      </c>
      <c r="B16" s="17" t="str">
        <f>INDEX('Qualification Data'!$D$9:$D$14,MATCH($A16,'Qualification Data'!$G$9:$G$14,0))</f>
        <v>Neha P Jain + Drishti</v>
      </c>
      <c r="C16" s="17" t="str">
        <f>INDEX('Qualification Data'!$C$9:$C$14,MATCH($A16,'Qualification Data'!$G$9:$G$14,0))</f>
        <v>Team 6</v>
      </c>
      <c r="D16" s="17" t="str">
        <f>INDEX('Qualification Data'!$B$9:$B$14,MATCH($A16,'Qualification Data'!$G$9:$G$14,0))</f>
        <v>Women's Doubles</v>
      </c>
      <c r="E16" s="17">
        <f>INDEX('Qualification Data'!$E$9:$E$14,MATCH($A16,'Qualification Data'!$G$9:$G$14,0))</f>
        <v>4</v>
      </c>
      <c r="F16" s="17">
        <f>INDEX('Qualification Data'!$F$9:$F$14,MATCH($A16,'Qualification Data'!$G$9:$G$14,0))</f>
        <v>71</v>
      </c>
      <c r="G16" s="17" t="s">
        <v>156</v>
      </c>
    </row>
    <row r="17" spans="1:7" x14ac:dyDescent="0.15">
      <c r="A17" s="17"/>
      <c r="B17" s="17"/>
      <c r="C17" s="17"/>
      <c r="D17" s="17"/>
      <c r="E17" s="17"/>
      <c r="F17" s="17"/>
      <c r="G17" s="17"/>
    </row>
    <row r="18" spans="1:7" x14ac:dyDescent="0.15">
      <c r="A18" s="65" t="s">
        <v>158</v>
      </c>
      <c r="B18" s="65"/>
      <c r="C18" s="65"/>
      <c r="D18" s="65"/>
      <c r="E18" s="65"/>
      <c r="F18" s="65"/>
      <c r="G18" s="65"/>
    </row>
    <row r="19" spans="1:7" x14ac:dyDescent="0.15">
      <c r="A19" s="23" t="s">
        <v>134</v>
      </c>
      <c r="B19" s="23" t="s">
        <v>148</v>
      </c>
      <c r="C19" s="23" t="s">
        <v>131</v>
      </c>
      <c r="D19" s="23" t="s">
        <v>147</v>
      </c>
      <c r="E19" s="23" t="s">
        <v>138</v>
      </c>
      <c r="F19" s="23" t="s">
        <v>133</v>
      </c>
      <c r="G19" s="23" t="s">
        <v>155</v>
      </c>
    </row>
    <row r="20" spans="1:7" x14ac:dyDescent="0.15">
      <c r="A20" s="17">
        <v>1</v>
      </c>
      <c r="B20" s="17" t="str">
        <f>INDEX('Qualification Data'!$D$16:$D$21,MATCH($A20,'Qualification Data'!$G$16:$G$21,0))</f>
        <v>Rithu + Darshan Patel</v>
      </c>
      <c r="C20" s="17" t="str">
        <f>INDEX('Qualification Data'!$C$16:$C$21,MATCH($A20,'Qualification Data'!$G$16:$G$21,0))</f>
        <v>Team 3</v>
      </c>
      <c r="D20" s="17" t="str">
        <f>INDEX('Qualification Data'!$B$16:$B$21,MATCH($A20,'Qualification Data'!$G$16:$G$21,0))</f>
        <v>Mixed Doubles</v>
      </c>
      <c r="E20" s="17">
        <f>INDEX('Qualification Data'!$E$16:$E$21,MATCH($A20,'Qualification Data'!$G$16:$G$21,0))</f>
        <v>10</v>
      </c>
      <c r="F20" s="17">
        <f>INDEX('Qualification Data'!$F$16:$F$21,MATCH($A20,'Qualification Data'!$G$16:$G$21,0))</f>
        <v>105</v>
      </c>
      <c r="G20" s="17" t="s">
        <v>156</v>
      </c>
    </row>
    <row r="21" spans="1:7" x14ac:dyDescent="0.15">
      <c r="A21" s="17">
        <v>2</v>
      </c>
      <c r="B21" s="17" t="str">
        <f>INDEX('Qualification Data'!$D$16:$D$21,MATCH($A21,'Qualification Data'!$G$16:$G$21,0))</f>
        <v>Keerthana + Abhiram</v>
      </c>
      <c r="C21" s="17" t="str">
        <f>INDEX('Qualification Data'!$C$16:$C$21,MATCH($A21,'Qualification Data'!$G$16:$G$21,0))</f>
        <v>Team 2</v>
      </c>
      <c r="D21" s="17" t="str">
        <f>INDEX('Qualification Data'!$B$16:$B$21,MATCH($A21,'Qualification Data'!$G$16:$G$21,0))</f>
        <v>Mixed Doubles</v>
      </c>
      <c r="E21" s="17">
        <f>INDEX('Qualification Data'!$E$16:$E$21,MATCH($A21,'Qualification Data'!$G$16:$G$21,0))</f>
        <v>8</v>
      </c>
      <c r="F21" s="17">
        <f>INDEX('Qualification Data'!$F$16:$F$21,MATCH($A21,'Qualification Data'!$G$16:$G$21,0))</f>
        <v>100</v>
      </c>
      <c r="G21" s="17" t="s">
        <v>156</v>
      </c>
    </row>
    <row r="22" spans="1:7" x14ac:dyDescent="0.15">
      <c r="A22" s="17">
        <v>3</v>
      </c>
      <c r="B22" s="17" t="str">
        <f>INDEX('Qualification Data'!$D$16:$D$21,MATCH($A22,'Qualification Data'!$G$16:$G$21,0))</f>
        <v>Neha + Dhruv Jaju</v>
      </c>
      <c r="C22" s="17" t="str">
        <f>INDEX('Qualification Data'!$C$16:$C$21,MATCH($A22,'Qualification Data'!$G$16:$G$21,0))</f>
        <v>Team 1</v>
      </c>
      <c r="D22" s="17" t="str">
        <f>INDEX('Qualification Data'!$B$16:$B$21,MATCH($A22,'Qualification Data'!$G$16:$G$21,0))</f>
        <v>Mixed Doubles</v>
      </c>
      <c r="E22" s="17">
        <f>INDEX('Qualification Data'!$E$16:$E$21,MATCH($A22,'Qualification Data'!$G$16:$G$21,0))</f>
        <v>4</v>
      </c>
      <c r="F22" s="17">
        <f>INDEX('Qualification Data'!$F$16:$F$21,MATCH($A22,'Qualification Data'!$G$16:$G$21,0))</f>
        <v>86</v>
      </c>
      <c r="G22" s="17" t="s">
        <v>156</v>
      </c>
    </row>
    <row r="23" spans="1:7" x14ac:dyDescent="0.15">
      <c r="A23" s="17">
        <v>4</v>
      </c>
      <c r="B23" s="17" t="str">
        <f>INDEX('Qualification Data'!$D$16:$D$21,MATCH($A23,'Qualification Data'!$G$16:$G$21,0))</f>
        <v>Sanjana + Bharatha S</v>
      </c>
      <c r="C23" s="17" t="str">
        <f>INDEX('Qualification Data'!$C$16:$C$21,MATCH($A23,'Qualification Data'!$G$16:$G$21,0))</f>
        <v>Team 4</v>
      </c>
      <c r="D23" s="17" t="str">
        <f>INDEX('Qualification Data'!$B$16:$B$21,MATCH($A23,'Qualification Data'!$G$16:$G$21,0))</f>
        <v>Mixed Doubles</v>
      </c>
      <c r="E23" s="17">
        <f>INDEX('Qualification Data'!$E$16:$E$21,MATCH($A23,'Qualification Data'!$G$16:$G$21,0))</f>
        <v>4</v>
      </c>
      <c r="F23" s="17">
        <f>INDEX('Qualification Data'!$F$16:$F$21,MATCH($A23,'Qualification Data'!$G$16:$G$21,0))</f>
        <v>90</v>
      </c>
      <c r="G23" s="17" t="s">
        <v>156</v>
      </c>
    </row>
    <row r="24" spans="1:7" x14ac:dyDescent="0.15">
      <c r="A24" s="17"/>
      <c r="B24" s="17"/>
      <c r="C24" s="17"/>
      <c r="D24" s="17"/>
      <c r="E24" s="17"/>
      <c r="F24" s="17"/>
      <c r="G24" s="17"/>
    </row>
    <row r="25" spans="1:7" x14ac:dyDescent="0.15">
      <c r="A25" s="65" t="s">
        <v>159</v>
      </c>
      <c r="B25" s="65"/>
      <c r="C25" s="65"/>
      <c r="D25" s="65"/>
      <c r="E25" s="65"/>
      <c r="F25" s="65"/>
      <c r="G25" s="65"/>
    </row>
    <row r="26" spans="1:7" x14ac:dyDescent="0.15">
      <c r="A26" s="23" t="s">
        <v>160</v>
      </c>
      <c r="B26" s="23" t="s">
        <v>161</v>
      </c>
      <c r="C26" s="23" t="s">
        <v>162</v>
      </c>
      <c r="D26" s="23" t="s">
        <v>131</v>
      </c>
      <c r="E26" s="23" t="s">
        <v>163</v>
      </c>
      <c r="F26" s="23" t="s">
        <v>164</v>
      </c>
      <c r="G26" s="23" t="s">
        <v>131</v>
      </c>
    </row>
    <row r="27" spans="1:7" x14ac:dyDescent="0.15">
      <c r="A27" s="17" t="s">
        <v>165</v>
      </c>
      <c r="B27" s="17">
        <v>1</v>
      </c>
      <c r="C27" s="17" t="str" cm="1">
        <f t="array" ref="C27">_xlfn.XLOOKUP("Men's Singles 1"&amp;B27,'Qualification Data'!$B$23:$B$34&amp;'Qualification Data'!$G$23:$G$34,'Qualification Data'!$D$23:$D$34)</f>
        <v>Pavan D</v>
      </c>
      <c r="D27" s="17" t="str" cm="1">
        <f t="array" ref="D27">_xlfn.XLOOKUP("Men's Singles 1"&amp;B27,'Qualification Data'!$B$23:$B$34&amp;'Qualification Data'!$G$23:$G$34,'Qualification Data'!$C$23:$C$34)</f>
        <v>Team 5</v>
      </c>
      <c r="E27" s="17">
        <v>4</v>
      </c>
      <c r="F27" s="17" t="str" cm="1">
        <f t="array" ref="F27">_xlfn.XLOOKUP("Men's Singles 2"&amp;E27,'Qualification Data'!$B$23:$B$34&amp;'Qualification Data'!$G$23:$G$34,'Qualification Data'!$D$23:$D$34)</f>
        <v>Navtej</v>
      </c>
      <c r="G27" s="24" t="str" cm="1">
        <f t="array" ref="G27">_xlfn.XLOOKUP("Men's Singles 2"&amp;E27,'Qualification Data'!$B$23:$B$34&amp;'Qualification Data'!$G$23:$G$34,'Qualification Data'!$C$23:$C$34)</f>
        <v>Team 6</v>
      </c>
    </row>
    <row r="28" spans="1:7" x14ac:dyDescent="0.15">
      <c r="A28" s="17" t="s">
        <v>166</v>
      </c>
      <c r="B28" s="17">
        <v>2</v>
      </c>
      <c r="C28" s="17" t="str" cm="1">
        <f t="array" ref="C28">_xlfn.XLOOKUP("Men's Singles 1"&amp;B28,'Qualification Data'!$B$23:$B$34&amp;'Qualification Data'!$G$23:$G$34,'Qualification Data'!$D$23:$D$34)</f>
        <v>Sujal</v>
      </c>
      <c r="D28" s="17" t="str" cm="1">
        <f t="array" ref="D28">_xlfn.XLOOKUP("Men's Singles 1"&amp;B28,'Qualification Data'!$B$23:$B$34&amp;'Qualification Data'!$G$23:$G$34,'Qualification Data'!$C$23:$C$34)</f>
        <v>Team 3</v>
      </c>
      <c r="E28" s="17">
        <v>3</v>
      </c>
      <c r="F28" s="17" t="str" cm="1">
        <f t="array" ref="F28">_xlfn.XLOOKUP("Men's Singles 2"&amp;E28,'Qualification Data'!$B$23:$B$34&amp;'Qualification Data'!$G$23:$G$34,'Qualification Data'!$D$23:$D$34)</f>
        <v>Aman Doshi</v>
      </c>
      <c r="G28" s="24" t="str" cm="1">
        <f t="array" ref="G28">_xlfn.XLOOKUP("Men's Singles 2"&amp;E28,'Qualification Data'!$B$23:$B$34&amp;'Qualification Data'!$G$23:$G$34,'Qualification Data'!$C$23:$C$34)</f>
        <v>Team 1</v>
      </c>
    </row>
    <row r="29" spans="1:7" x14ac:dyDescent="0.15">
      <c r="A29" s="17" t="s">
        <v>167</v>
      </c>
      <c r="B29" s="17">
        <v>3</v>
      </c>
      <c r="C29" s="17" t="str" cm="1">
        <f t="array" ref="C29">_xlfn.XLOOKUP("Men's Singles 1"&amp;B29,'Qualification Data'!$B$23:$B$34&amp;'Qualification Data'!$G$23:$G$34,'Qualification Data'!$D$23:$D$34)</f>
        <v>Saurabh</v>
      </c>
      <c r="D29" s="17" t="str" cm="1">
        <f t="array" ref="D29">_xlfn.XLOOKUP("Men's Singles 1"&amp;B29,'Qualification Data'!$B$23:$B$34&amp;'Qualification Data'!$G$23:$G$34,'Qualification Data'!$C$23:$C$34)</f>
        <v>Team 1</v>
      </c>
      <c r="E29" s="17">
        <v>2</v>
      </c>
      <c r="F29" s="17" t="str" cm="1">
        <f t="array" ref="F29">_xlfn.XLOOKUP("Men's Singles 2"&amp;E29,'Qualification Data'!$B$23:$B$34&amp;'Qualification Data'!$G$23:$G$34,'Qualification Data'!$D$23:$D$34)</f>
        <v>Vidwan</v>
      </c>
      <c r="G29" s="24" t="str" cm="1">
        <f t="array" ref="G29">_xlfn.XLOOKUP("Men's Singles 2"&amp;E29,'Qualification Data'!$B$23:$B$34&amp;'Qualification Data'!$G$23:$G$34,'Qualification Data'!$C$23:$C$34)</f>
        <v>Team 5</v>
      </c>
    </row>
    <row r="30" spans="1:7" x14ac:dyDescent="0.15">
      <c r="A30" s="17" t="s">
        <v>168</v>
      </c>
      <c r="B30" s="17">
        <v>4</v>
      </c>
      <c r="C30" s="17" t="str" cm="1">
        <f t="array" ref="C30">_xlfn.XLOOKUP("Men's Singles 1"&amp;B30,'Qualification Data'!$B$23:$B$34&amp;'Qualification Data'!$G$23:$G$34,'Qualification Data'!$D$23:$D$34)</f>
        <v>Anshul</v>
      </c>
      <c r="D30" s="17" t="str" cm="1">
        <f t="array" ref="D30">_xlfn.XLOOKUP("Men's Singles 1"&amp;B30,'Qualification Data'!$B$23:$B$34&amp;'Qualification Data'!$G$23:$G$34,'Qualification Data'!$C$23:$C$34)</f>
        <v>Team 6</v>
      </c>
      <c r="E30" s="17">
        <v>1</v>
      </c>
      <c r="F30" s="17" t="str" cm="1">
        <f t="array" ref="F30">_xlfn.XLOOKUP("Men's Singles 2"&amp;E30,'Qualification Data'!$B$23:$B$34&amp;'Qualification Data'!$G$23:$G$34,'Qualification Data'!$D$23:$D$34)</f>
        <v>Jay B</v>
      </c>
      <c r="G30" s="24" t="str" cm="1">
        <f t="array" ref="G30">_xlfn.XLOOKUP("Men's Singles 2"&amp;E30,'Qualification Data'!$B$23:$B$34&amp;'Qualification Data'!$G$23:$G$34,'Qualification Data'!$C$23:$C$34)</f>
        <v>Team 4</v>
      </c>
    </row>
    <row r="31" spans="1:7" x14ac:dyDescent="0.15">
      <c r="A31" s="17"/>
      <c r="B31" s="17"/>
      <c r="C31" s="17"/>
      <c r="D31" s="17"/>
      <c r="E31" s="17"/>
      <c r="F31" s="17"/>
      <c r="G31" s="24"/>
    </row>
    <row r="32" spans="1:7" x14ac:dyDescent="0.15">
      <c r="A32" s="17"/>
      <c r="B32" s="17"/>
      <c r="C32" s="17"/>
      <c r="D32" s="17"/>
      <c r="E32" s="17"/>
      <c r="F32" s="17"/>
      <c r="G32" s="24"/>
    </row>
    <row r="33" spans="1:7" x14ac:dyDescent="0.15">
      <c r="A33" s="17"/>
      <c r="B33" s="17"/>
      <c r="C33" s="17"/>
      <c r="D33" s="17"/>
      <c r="E33" s="17"/>
      <c r="F33" s="17"/>
      <c r="G33" s="24"/>
    </row>
    <row r="34" spans="1:7" x14ac:dyDescent="0.15">
      <c r="A34" s="17"/>
      <c r="B34" s="17"/>
      <c r="C34" s="17"/>
      <c r="D34" s="17"/>
      <c r="E34" s="17"/>
      <c r="F34" s="17"/>
      <c r="G34" s="24"/>
    </row>
    <row r="35" spans="1:7" x14ac:dyDescent="0.15">
      <c r="A35" s="17"/>
      <c r="B35" s="17"/>
      <c r="C35" s="17"/>
      <c r="D35" s="17"/>
      <c r="E35" s="17"/>
      <c r="F35" s="17"/>
      <c r="G35" s="17"/>
    </row>
    <row r="36" spans="1:7" x14ac:dyDescent="0.15">
      <c r="A36" s="17"/>
      <c r="B36" s="17"/>
      <c r="C36" s="17"/>
      <c r="D36" s="17"/>
      <c r="E36" s="17"/>
      <c r="F36" s="17"/>
      <c r="G36" s="17"/>
    </row>
    <row r="37" spans="1:7" x14ac:dyDescent="0.15">
      <c r="A37" s="17"/>
      <c r="B37" s="17"/>
      <c r="C37" s="17"/>
      <c r="D37" s="17"/>
      <c r="E37" s="17"/>
      <c r="F37" s="17"/>
      <c r="G37" s="17"/>
    </row>
    <row r="38" spans="1:7" x14ac:dyDescent="0.15">
      <c r="A38" s="65" t="s">
        <v>169</v>
      </c>
      <c r="B38" s="65"/>
      <c r="C38" s="65"/>
      <c r="D38" s="65"/>
      <c r="E38" s="65"/>
      <c r="F38" s="65"/>
      <c r="G38" s="65"/>
    </row>
    <row r="39" spans="1:7" x14ac:dyDescent="0.15">
      <c r="A39" s="23" t="s">
        <v>160</v>
      </c>
      <c r="B39" s="23" t="s">
        <v>170</v>
      </c>
      <c r="C39" s="23" t="s">
        <v>171</v>
      </c>
      <c r="D39" s="23" t="s">
        <v>131</v>
      </c>
      <c r="E39" s="23" t="s">
        <v>172</v>
      </c>
      <c r="F39" s="23" t="s">
        <v>173</v>
      </c>
      <c r="G39" s="23" t="s">
        <v>131</v>
      </c>
    </row>
    <row r="40" spans="1:7" x14ac:dyDescent="0.15">
      <c r="A40" s="17" t="s">
        <v>165</v>
      </c>
      <c r="B40" s="17">
        <v>1</v>
      </c>
      <c r="C40" s="17" t="str" cm="1">
        <f t="array" ref="C40">_xlfn.XLOOKUP("Men's Doubles 1"&amp;B40,'Qualification Data'!$B$36:$B$47&amp;'Qualification Data'!$G$36:$G$47,'Qualification Data'!$D$36:$D$47)</f>
        <v>Kushal + Shubham</v>
      </c>
      <c r="D40" s="17" t="str" cm="1">
        <f t="array" ref="D40">_xlfn.XLOOKUP("Men's Doubles 1"&amp;B40,'Qualification Data'!$B$36:$B$47&amp;'Qualification Data'!$G$36:$G$47,'Qualification Data'!$C$36:$C$47)</f>
        <v>Team 2</v>
      </c>
      <c r="E40" s="17">
        <v>4</v>
      </c>
      <c r="F40" s="17" t="str" cm="1">
        <f t="array" ref="F40">_xlfn.XLOOKUP("Men's Doubles 2"&amp;E40,'Qualification Data'!$B$36:$B$47&amp;'Qualification Data'!$G$36:$G$47,'Qualification Data'!$D$36:$D$47)</f>
        <v>Khush B + Hemanth</v>
      </c>
      <c r="G40" s="24" t="str" cm="1">
        <f t="array" ref="G40">_xlfn.XLOOKUP("Men's Doubles 2"&amp;E40,'Qualification Data'!$B$36:$B$47&amp;'Qualification Data'!$G$36:$G$47,'Qualification Data'!$C$36:$C$47)</f>
        <v>Team 4</v>
      </c>
    </row>
    <row r="41" spans="1:7" x14ac:dyDescent="0.15">
      <c r="A41" s="17" t="s">
        <v>166</v>
      </c>
      <c r="B41" s="17">
        <v>2</v>
      </c>
      <c r="C41" s="17" t="str" cm="1">
        <f t="array" ref="C41">_xlfn.XLOOKUP("Men's Doubles 1"&amp;B41,'Qualification Data'!$B$36:$B$47&amp;'Qualification Data'!$G$36:$G$47,'Qualification Data'!$D$36:$D$47)</f>
        <v>Kunal D + Anirudha H</v>
      </c>
      <c r="D41" s="17" t="str" cm="1">
        <f t="array" ref="D41">_xlfn.XLOOKUP("Men's Doubles 1"&amp;B41,'Qualification Data'!$B$36:$B$47&amp;'Qualification Data'!$G$36:$G$47,'Qualification Data'!$C$36:$C$47)</f>
        <v>Team 3</v>
      </c>
      <c r="E41" s="17">
        <v>3</v>
      </c>
      <c r="F41" s="17" t="str" cm="1">
        <f t="array" ref="F41">_xlfn.XLOOKUP("Men's Doubles 2"&amp;E41,'Qualification Data'!$B$36:$B$47&amp;'Qualification Data'!$G$36:$G$47,'Qualification Data'!$D$36:$D$47)</f>
        <v>Yuvraj + Karthik KB</v>
      </c>
      <c r="G41" s="24" t="str" cm="1">
        <f t="array" ref="G41">_xlfn.XLOOKUP("Men's Doubles 2"&amp;E41,'Qualification Data'!$B$36:$B$47&amp;'Qualification Data'!$G$36:$G$47,'Qualification Data'!$C$36:$C$47)</f>
        <v>Team 2</v>
      </c>
    </row>
    <row r="42" spans="1:7" x14ac:dyDescent="0.15">
      <c r="A42" s="17" t="s">
        <v>167</v>
      </c>
      <c r="B42" s="17">
        <v>3</v>
      </c>
      <c r="C42" s="17" t="str" cm="1">
        <f t="array" ref="C42">_xlfn.XLOOKUP("Men's Doubles 1"&amp;B42,'Qualification Data'!$B$36:$B$47&amp;'Qualification Data'!$G$36:$G$47,'Qualification Data'!$D$36:$D$47)</f>
        <v>Leela Sagar + Ali Akbar</v>
      </c>
      <c r="D42" s="17" t="str" cm="1">
        <f t="array" ref="D42">_xlfn.XLOOKUP("Men's Doubles 1"&amp;B42,'Qualification Data'!$B$36:$B$47&amp;'Qualification Data'!$G$36:$G$47,'Qualification Data'!$C$36:$C$47)</f>
        <v>Team 4</v>
      </c>
      <c r="E42" s="17">
        <v>2</v>
      </c>
      <c r="F42" s="17" t="str" cm="1">
        <f t="array" ref="F42">_xlfn.XLOOKUP("Men's Doubles 2"&amp;E42,'Qualification Data'!$B$36:$B$47&amp;'Qualification Data'!$G$36:$G$47,'Qualification Data'!$D$36:$D$47)</f>
        <v>Sarvesh H + Deviprasad</v>
      </c>
      <c r="G42" s="24" t="str" cm="1">
        <f t="array" ref="G42">_xlfn.XLOOKUP("Men's Doubles 2"&amp;E42,'Qualification Data'!$B$36:$B$47&amp;'Qualification Data'!$G$36:$G$47,'Qualification Data'!$C$36:$C$47)</f>
        <v>Team 3</v>
      </c>
    </row>
    <row r="43" spans="1:7" x14ac:dyDescent="0.15">
      <c r="A43" s="17" t="s">
        <v>168</v>
      </c>
      <c r="B43" s="17">
        <v>4</v>
      </c>
      <c r="C43" s="17" t="str" cm="1">
        <f t="array" ref="C43">_xlfn.XLOOKUP("Men's Doubles 1"&amp;B43,'Qualification Data'!$B$36:$B$47&amp;'Qualification Data'!$G$36:$G$47,'Qualification Data'!$D$36:$D$47)</f>
        <v>Nagarajan + Chandrashaker Joshi</v>
      </c>
      <c r="D43" s="17" t="str" cm="1">
        <f t="array" ref="D43">_xlfn.XLOOKUP("Men's Doubles 1"&amp;B43,'Qualification Data'!$B$36:$B$47&amp;'Qualification Data'!$G$36:$G$47,'Qualification Data'!$C$36:$C$47)</f>
        <v>Team 6</v>
      </c>
      <c r="E43" s="17">
        <v>1</v>
      </c>
      <c r="F43" s="17" t="str" cm="1">
        <f t="array" ref="F43">_xlfn.XLOOKUP("Men's Doubles 2"&amp;E43,'Qualification Data'!$B$36:$B$47&amp;'Qualification Data'!$G$36:$G$47,'Qualification Data'!$D$36:$D$47)</f>
        <v>Rohan + Bhuvanesh</v>
      </c>
      <c r="G43" s="24" t="str" cm="1">
        <f t="array" ref="G43">_xlfn.XLOOKUP("Men's Doubles 2"&amp;E43,'Qualification Data'!$B$36:$B$47&amp;'Qualification Data'!$G$36:$G$47,'Qualification Data'!$C$36:$C$47)</f>
        <v>Team 6</v>
      </c>
    </row>
    <row r="44" spans="1:7" x14ac:dyDescent="0.15">
      <c r="A44" s="17"/>
      <c r="B44" s="17"/>
      <c r="C44" s="17"/>
      <c r="D44" s="17"/>
      <c r="E44" s="17"/>
      <c r="F44" s="17"/>
      <c r="G44" s="24"/>
    </row>
    <row r="45" spans="1:7" x14ac:dyDescent="0.15">
      <c r="A45" s="17"/>
      <c r="B45" s="17"/>
      <c r="C45" s="17"/>
      <c r="D45" s="17"/>
      <c r="E45" s="17"/>
      <c r="F45" s="17"/>
      <c r="G45" s="24"/>
    </row>
    <row r="46" spans="1:7" x14ac:dyDescent="0.15">
      <c r="A46" s="17"/>
      <c r="B46" s="17"/>
      <c r="C46" s="17"/>
      <c r="D46" s="17"/>
      <c r="E46" s="17"/>
      <c r="F46" s="17"/>
      <c r="G46" s="24"/>
    </row>
    <row r="47" spans="1:7" x14ac:dyDescent="0.15">
      <c r="A47" s="17"/>
      <c r="B47" s="17"/>
      <c r="C47" s="17"/>
      <c r="D47" s="17"/>
      <c r="E47" s="17"/>
      <c r="F47" s="17"/>
      <c r="G47" s="24"/>
    </row>
  </sheetData>
  <mergeCells count="7">
    <mergeCell ref="A11:G11"/>
    <mergeCell ref="A18:G18"/>
    <mergeCell ref="A25:G25"/>
    <mergeCell ref="A38:G38"/>
    <mergeCell ref="A1:G1"/>
    <mergeCell ref="A2:G2"/>
    <mergeCell ref="A4:G4"/>
  </mergeCells>
  <dataValidations count="1">
    <dataValidation type="list" allowBlank="1" showInputMessage="1" showErrorMessage="1" sqref="G40:G47 G27:G34" xr:uid="{5DB6E15C-AAE4-4337-948C-DFECFF2E6BAE}">
      <formula1>"Selected,Not Selected,Pending"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16BB-35F7-45E9-A91C-FCE42454C133}">
  <dimension ref="A1:T28"/>
  <sheetViews>
    <sheetView tabSelected="1" topLeftCell="K5" zoomScale="172" workbookViewId="0">
      <selection activeCell="Q23" sqref="Q23"/>
    </sheetView>
  </sheetViews>
  <sheetFormatPr baseColWidth="10" defaultColWidth="8.6640625" defaultRowHeight="12" x14ac:dyDescent="0.15"/>
  <cols>
    <col min="1" max="1" width="15.5" style="14" bestFit="1" customWidth="1"/>
    <col min="2" max="2" width="12" style="14" bestFit="1" customWidth="1"/>
    <col min="3" max="3" width="10.33203125" style="14" bestFit="1" customWidth="1"/>
    <col min="4" max="4" width="28.5" style="14" bestFit="1" customWidth="1"/>
    <col min="5" max="5" width="7" style="14" bestFit="1" customWidth="1"/>
    <col min="6" max="8" width="10.83203125" style="14" bestFit="1" customWidth="1"/>
    <col min="9" max="9" width="4.83203125" style="14" bestFit="1" customWidth="1"/>
    <col min="10" max="10" width="10.33203125" style="14" bestFit="1" customWidth="1"/>
    <col min="11" max="11" width="28.5" style="14" bestFit="1" customWidth="1"/>
    <col min="12" max="12" width="7" style="14" bestFit="1" customWidth="1"/>
    <col min="13" max="15" width="10.83203125" style="14" bestFit="1" customWidth="1"/>
    <col min="16" max="16" width="4.83203125" style="14" bestFit="1" customWidth="1"/>
    <col min="17" max="17" width="28.5" style="14" bestFit="1" customWidth="1"/>
    <col min="18" max="18" width="12.5" style="14" bestFit="1" customWidth="1"/>
    <col min="19" max="19" width="15.1640625" style="14" bestFit="1" customWidth="1"/>
    <col min="20" max="20" width="10.1640625" style="14" bestFit="1" customWidth="1"/>
    <col min="21" max="16384" width="8.6640625" style="14"/>
  </cols>
  <sheetData>
    <row r="1" spans="1:20" x14ac:dyDescent="0.15">
      <c r="A1" s="60" t="s">
        <v>174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0" x14ac:dyDescent="0.15">
      <c r="A2" s="61" t="s">
        <v>248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4" spans="1:20" x14ac:dyDescent="0.15">
      <c r="A4" s="49" t="s">
        <v>4</v>
      </c>
      <c r="B4" s="49" t="s">
        <v>175</v>
      </c>
      <c r="C4" s="49" t="s">
        <v>176</v>
      </c>
      <c r="D4" s="49" t="s">
        <v>177</v>
      </c>
      <c r="E4" s="49" t="s">
        <v>2</v>
      </c>
      <c r="F4" s="49" t="s">
        <v>223</v>
      </c>
      <c r="G4" s="49" t="s">
        <v>224</v>
      </c>
      <c r="H4" s="49" t="s">
        <v>225</v>
      </c>
      <c r="I4" s="49" t="s">
        <v>226</v>
      </c>
      <c r="J4" s="49" t="s">
        <v>178</v>
      </c>
      <c r="K4" s="49" t="s">
        <v>179</v>
      </c>
      <c r="L4" s="49" t="s">
        <v>3</v>
      </c>
      <c r="M4" s="49" t="s">
        <v>223</v>
      </c>
      <c r="N4" s="49" t="s">
        <v>224</v>
      </c>
      <c r="O4" s="49" t="s">
        <v>225</v>
      </c>
      <c r="P4" s="49" t="s">
        <v>226</v>
      </c>
      <c r="Q4" s="49" t="s">
        <v>7</v>
      </c>
      <c r="R4" s="49" t="s">
        <v>9</v>
      </c>
      <c r="S4" s="49" t="s">
        <v>180</v>
      </c>
      <c r="T4" s="49" t="s">
        <v>181</v>
      </c>
    </row>
    <row r="5" spans="1:20" x14ac:dyDescent="0.15">
      <c r="A5" s="25" t="s">
        <v>15</v>
      </c>
      <c r="B5" s="25" t="s">
        <v>182</v>
      </c>
      <c r="C5" s="25">
        <v>1</v>
      </c>
      <c r="D5" s="25" t="str">
        <f>Qualifiers!B6</f>
        <v>Neha P Jain</v>
      </c>
      <c r="E5" s="25" t="str">
        <f>Qualifiers!C6</f>
        <v>Team 6</v>
      </c>
      <c r="F5" s="26">
        <v>16</v>
      </c>
      <c r="G5" s="26">
        <v>16</v>
      </c>
      <c r="H5" s="26">
        <v>0</v>
      </c>
      <c r="I5" s="26">
        <f t="shared" ref="I5:I20" si="0">IF(OR(F5="",M5=""),"",--(F5&gt;M5)+IF(OR(G5="",N5=""),0,--(G5&gt;N5))+IF(OR(H5="",O5=""),0,--(H5&gt;O5)))</f>
        <v>2</v>
      </c>
      <c r="J5" s="27">
        <v>4</v>
      </c>
      <c r="K5" s="27" t="str">
        <f>Qualifiers!B9</f>
        <v>Mamta</v>
      </c>
      <c r="L5" s="27" t="str">
        <f>Qualifiers!C9</f>
        <v>Team 3</v>
      </c>
      <c r="M5" s="27">
        <v>7</v>
      </c>
      <c r="N5" s="27">
        <v>9</v>
      </c>
      <c r="O5" s="27">
        <v>0</v>
      </c>
      <c r="P5" s="27">
        <f t="shared" ref="P5:P20" si="1">IF(OR(F5="",M5=""),"",--(M5&gt;F5)+IF(OR(G5="",N5=""),0,--(N5&gt;G5))+IF(OR(H5="",O5=""),0,--(O5&gt;H5)))</f>
        <v>0</v>
      </c>
      <c r="Q5" s="25" t="str">
        <f t="shared" ref="Q5:Q20" si="2">IF(OR(I5="",P5=""),"Pending",IF(I5=P5,"Tie - review",IF(I5&gt;P5,D5,K5)))</f>
        <v>Neha P Jain</v>
      </c>
      <c r="R5" s="25" t="str">
        <f t="shared" ref="R5:R20" si="3">IF(OR(I5="",P5=""),"Pending",IF(I5=P5,"Tie - review",IF(I5&gt;P5,E5,L5)))</f>
        <v>Team 6</v>
      </c>
      <c r="S5" s="27"/>
      <c r="T5" s="27"/>
    </row>
    <row r="6" spans="1:20" x14ac:dyDescent="0.15">
      <c r="A6" s="25" t="s">
        <v>15</v>
      </c>
      <c r="B6" s="25" t="s">
        <v>183</v>
      </c>
      <c r="C6" s="25">
        <v>2</v>
      </c>
      <c r="D6" s="25" t="str">
        <f>Qualifiers!B7</f>
        <v>Vaishnavi M</v>
      </c>
      <c r="E6" s="25" t="str">
        <f>Qualifiers!C7</f>
        <v>Team 2</v>
      </c>
      <c r="F6" s="26">
        <v>16</v>
      </c>
      <c r="G6" s="26">
        <v>15</v>
      </c>
      <c r="H6" s="26">
        <v>14</v>
      </c>
      <c r="I6" s="26">
        <f t="shared" si="0"/>
        <v>1</v>
      </c>
      <c r="J6" s="27">
        <v>3</v>
      </c>
      <c r="K6" s="27" t="str">
        <f>Qualifiers!B8</f>
        <v>Subashree</v>
      </c>
      <c r="L6" s="27" t="str">
        <f>Qualifiers!C8</f>
        <v>Team 4</v>
      </c>
      <c r="M6" s="27">
        <v>12</v>
      </c>
      <c r="N6" s="27">
        <v>17</v>
      </c>
      <c r="O6" s="27">
        <v>16</v>
      </c>
      <c r="P6" s="27">
        <f t="shared" si="1"/>
        <v>2</v>
      </c>
      <c r="Q6" s="25" t="str">
        <f t="shared" si="2"/>
        <v>Subashree</v>
      </c>
      <c r="R6" s="25" t="str">
        <f t="shared" si="3"/>
        <v>Team 4</v>
      </c>
      <c r="S6" s="27"/>
      <c r="T6" s="27"/>
    </row>
    <row r="7" spans="1:20" x14ac:dyDescent="0.15">
      <c r="A7" s="28" t="s">
        <v>15</v>
      </c>
      <c r="B7" s="28" t="s">
        <v>184</v>
      </c>
      <c r="C7" s="28" t="s">
        <v>185</v>
      </c>
      <c r="D7" s="28" t="str">
        <f>IF(OR(Q5="Pending",LEFT(Q5,3)="Tie"),"TBD",Q5)</f>
        <v>Neha P Jain</v>
      </c>
      <c r="E7" s="28" t="str">
        <f>IF(OR(R5="Pending",LEFT(R5,3)="Tie"),"TBD",R5)</f>
        <v>Team 6</v>
      </c>
      <c r="F7" s="29">
        <v>21</v>
      </c>
      <c r="G7" s="29">
        <v>21</v>
      </c>
      <c r="H7" s="29">
        <v>0</v>
      </c>
      <c r="I7" s="29">
        <f t="shared" si="0"/>
        <v>2</v>
      </c>
      <c r="J7" s="30" t="s">
        <v>186</v>
      </c>
      <c r="K7" s="30" t="str">
        <f>IF(OR(Q6="Pending",LEFT(Q6,3)="Tie"),"TBD",Q6)</f>
        <v>Subashree</v>
      </c>
      <c r="L7" s="30" t="str">
        <f>IF(OR(R6="Pending",LEFT(R6,3)="Tie"),"TBD",R6)</f>
        <v>Team 4</v>
      </c>
      <c r="M7" s="30">
        <v>17</v>
      </c>
      <c r="N7" s="30">
        <v>18</v>
      </c>
      <c r="O7" s="30">
        <v>0</v>
      </c>
      <c r="P7" s="30">
        <f t="shared" si="1"/>
        <v>0</v>
      </c>
      <c r="Q7" s="28" t="str">
        <f t="shared" si="2"/>
        <v>Neha P Jain</v>
      </c>
      <c r="R7" s="28" t="str">
        <f t="shared" si="3"/>
        <v>Team 6</v>
      </c>
      <c r="S7" s="30"/>
      <c r="T7" s="30"/>
    </row>
    <row r="8" spans="1:20" x14ac:dyDescent="0.15">
      <c r="A8" s="25" t="s">
        <v>16</v>
      </c>
      <c r="B8" s="25" t="s">
        <v>182</v>
      </c>
      <c r="C8" s="25">
        <v>1</v>
      </c>
      <c r="D8" s="25" t="str">
        <f>Qualifiers!B13</f>
        <v>Amrutha + Neha</v>
      </c>
      <c r="E8" s="25" t="str">
        <f>Qualifiers!C13</f>
        <v>Team 1</v>
      </c>
      <c r="F8" s="26"/>
      <c r="G8" s="26"/>
      <c r="H8" s="26"/>
      <c r="I8" s="26" t="str">
        <f t="shared" si="0"/>
        <v/>
      </c>
      <c r="J8" s="27">
        <v>4</v>
      </c>
      <c r="K8" s="27" t="str">
        <f>Qualifiers!B16</f>
        <v>Neha P Jain + Drishti</v>
      </c>
      <c r="L8" s="27" t="str">
        <f>Qualifiers!C16</f>
        <v>Team 6</v>
      </c>
      <c r="M8" s="27"/>
      <c r="N8" s="27"/>
      <c r="O8" s="27"/>
      <c r="P8" s="27" t="str">
        <f t="shared" si="1"/>
        <v/>
      </c>
      <c r="Q8" s="25" t="str">
        <f t="shared" si="2"/>
        <v>Pending</v>
      </c>
      <c r="R8" s="25" t="str">
        <f t="shared" si="3"/>
        <v>Pending</v>
      </c>
      <c r="S8" s="27"/>
      <c r="T8" s="27"/>
    </row>
    <row r="9" spans="1:20" x14ac:dyDescent="0.15">
      <c r="A9" s="25" t="s">
        <v>16</v>
      </c>
      <c r="B9" s="25" t="s">
        <v>183</v>
      </c>
      <c r="C9" s="25">
        <v>2</v>
      </c>
      <c r="D9" s="25" t="str">
        <f>Qualifiers!B14</f>
        <v>Subashree + Sanjana</v>
      </c>
      <c r="E9" s="25" t="str">
        <f>Qualifiers!C14</f>
        <v>Team 4</v>
      </c>
      <c r="F9" s="26">
        <v>16</v>
      </c>
      <c r="G9" s="26">
        <v>7</v>
      </c>
      <c r="H9" s="26">
        <v>9</v>
      </c>
      <c r="I9" s="26">
        <f t="shared" si="0"/>
        <v>1</v>
      </c>
      <c r="J9" s="27">
        <v>3</v>
      </c>
      <c r="K9" s="27" t="str">
        <f>Qualifiers!B15</f>
        <v>Vaishnavi M + Keerthana</v>
      </c>
      <c r="L9" s="27" t="str">
        <f>Qualifiers!C15</f>
        <v>Team 2</v>
      </c>
      <c r="M9" s="27">
        <v>12</v>
      </c>
      <c r="N9" s="27">
        <v>16</v>
      </c>
      <c r="O9" s="27">
        <v>16</v>
      </c>
      <c r="P9" s="27">
        <f t="shared" si="1"/>
        <v>2</v>
      </c>
      <c r="Q9" s="25" t="str">
        <f t="shared" si="2"/>
        <v>Vaishnavi M + Keerthana</v>
      </c>
      <c r="R9" s="25" t="str">
        <f t="shared" si="3"/>
        <v>Team 2</v>
      </c>
      <c r="S9" s="27"/>
      <c r="T9" s="27"/>
    </row>
    <row r="10" spans="1:20" x14ac:dyDescent="0.15">
      <c r="A10" s="28" t="s">
        <v>16</v>
      </c>
      <c r="B10" s="28" t="s">
        <v>184</v>
      </c>
      <c r="C10" s="28" t="s">
        <v>185</v>
      </c>
      <c r="D10" s="28" t="str">
        <f>IF(OR(Q8="Pending",LEFT(Q8,3)="Tie"),"TBD",Q8)</f>
        <v>TBD</v>
      </c>
      <c r="E10" s="28" t="str">
        <f>IF(OR(R8="Pending",LEFT(R8,3)="Tie"),"TBD",R8)</f>
        <v>TBD</v>
      </c>
      <c r="F10" s="29"/>
      <c r="G10" s="29"/>
      <c r="H10" s="29"/>
      <c r="I10" s="29" t="str">
        <f t="shared" si="0"/>
        <v/>
      </c>
      <c r="J10" s="30" t="s">
        <v>186</v>
      </c>
      <c r="K10" s="30" t="str">
        <f>IF(OR(Q9="Pending",LEFT(Q9,3)="Tie"),"TBD",Q9)</f>
        <v>Vaishnavi M + Keerthana</v>
      </c>
      <c r="L10" s="30" t="str">
        <f>IF(OR(R9="Pending",LEFT(R9,3)="Tie"),"TBD",R9)</f>
        <v>Team 2</v>
      </c>
      <c r="M10" s="30"/>
      <c r="N10" s="30"/>
      <c r="O10" s="30"/>
      <c r="P10" s="30" t="str">
        <f t="shared" si="1"/>
        <v/>
      </c>
      <c r="Q10" s="28" t="str">
        <f t="shared" si="2"/>
        <v>Pending</v>
      </c>
      <c r="R10" s="28" t="str">
        <f t="shared" si="3"/>
        <v>Pending</v>
      </c>
      <c r="S10" s="30"/>
      <c r="T10" s="30"/>
    </row>
    <row r="11" spans="1:20" x14ac:dyDescent="0.15">
      <c r="A11" s="25" t="s">
        <v>17</v>
      </c>
      <c r="B11" s="25" t="s">
        <v>182</v>
      </c>
      <c r="C11" s="25">
        <v>1</v>
      </c>
      <c r="D11" s="25" t="str">
        <f>Qualifiers!B20</f>
        <v>Rithu + Darshan Patel</v>
      </c>
      <c r="E11" s="25" t="str">
        <f>Qualifiers!C20</f>
        <v>Team 3</v>
      </c>
      <c r="F11" s="26">
        <v>15</v>
      </c>
      <c r="G11" s="26">
        <v>16</v>
      </c>
      <c r="H11" s="26">
        <v>15</v>
      </c>
      <c r="I11" s="26">
        <f t="shared" si="0"/>
        <v>2</v>
      </c>
      <c r="J11" s="27">
        <v>4</v>
      </c>
      <c r="K11" s="27" t="str">
        <f>Qualifiers!B23</f>
        <v>Sanjana + Bharatha S</v>
      </c>
      <c r="L11" s="27" t="str">
        <f>Qualifiers!C23</f>
        <v>Team 4</v>
      </c>
      <c r="M11" s="27">
        <v>17</v>
      </c>
      <c r="N11" s="27">
        <v>14</v>
      </c>
      <c r="O11" s="27">
        <v>9</v>
      </c>
      <c r="P11" s="27">
        <f t="shared" si="1"/>
        <v>1</v>
      </c>
      <c r="Q11" s="25" t="str">
        <f t="shared" si="2"/>
        <v>Rithu + Darshan Patel</v>
      </c>
      <c r="R11" s="25" t="str">
        <f t="shared" si="3"/>
        <v>Team 3</v>
      </c>
      <c r="S11" s="27"/>
      <c r="T11" s="27"/>
    </row>
    <row r="12" spans="1:20" x14ac:dyDescent="0.15">
      <c r="A12" s="25" t="s">
        <v>17</v>
      </c>
      <c r="B12" s="25" t="s">
        <v>183</v>
      </c>
      <c r="C12" s="25">
        <v>2</v>
      </c>
      <c r="D12" s="25" t="str">
        <f>Qualifiers!B21</f>
        <v>Keerthana + Abhiram</v>
      </c>
      <c r="E12" s="25" t="str">
        <f>Qualifiers!C21</f>
        <v>Team 2</v>
      </c>
      <c r="F12" s="26">
        <v>16</v>
      </c>
      <c r="G12" s="26">
        <v>12</v>
      </c>
      <c r="H12" s="26">
        <v>16</v>
      </c>
      <c r="I12" s="26">
        <f t="shared" si="0"/>
        <v>2</v>
      </c>
      <c r="J12" s="27">
        <v>3</v>
      </c>
      <c r="K12" s="27" t="str">
        <f>Qualifiers!B22</f>
        <v>Neha + Dhruv Jaju</v>
      </c>
      <c r="L12" s="27" t="str">
        <f>Qualifiers!C22</f>
        <v>Team 1</v>
      </c>
      <c r="M12" s="27">
        <v>10</v>
      </c>
      <c r="N12" s="27">
        <v>16</v>
      </c>
      <c r="O12" s="27">
        <v>10</v>
      </c>
      <c r="P12" s="27">
        <f t="shared" si="1"/>
        <v>1</v>
      </c>
      <c r="Q12" s="25" t="str">
        <f t="shared" si="2"/>
        <v>Keerthana + Abhiram</v>
      </c>
      <c r="R12" s="25" t="str">
        <f t="shared" si="3"/>
        <v>Team 2</v>
      </c>
      <c r="S12" s="27"/>
      <c r="T12" s="27"/>
    </row>
    <row r="13" spans="1:20" x14ac:dyDescent="0.15">
      <c r="A13" s="28" t="s">
        <v>17</v>
      </c>
      <c r="B13" s="28" t="s">
        <v>184</v>
      </c>
      <c r="C13" s="28" t="s">
        <v>185</v>
      </c>
      <c r="D13" s="28" t="str">
        <f>IF(OR(Q11="Pending",LEFT(Q11,3)="Tie"),"TBD",Q11)</f>
        <v>Rithu + Darshan Patel</v>
      </c>
      <c r="E13" s="28" t="str">
        <f>IF(OR(R11="Pending",LEFT(R11,3)="Tie"),"TBD",R11)</f>
        <v>Team 3</v>
      </c>
      <c r="F13" s="29">
        <v>5</v>
      </c>
      <c r="G13" s="29">
        <v>21</v>
      </c>
      <c r="H13" s="29">
        <v>12</v>
      </c>
      <c r="I13" s="29">
        <f t="shared" si="0"/>
        <v>1</v>
      </c>
      <c r="J13" s="30" t="s">
        <v>186</v>
      </c>
      <c r="K13" s="30" t="str">
        <f>IF(OR(Q12="Pending",LEFT(Q12,3)="Tie"),"TBD",Q12)</f>
        <v>Keerthana + Abhiram</v>
      </c>
      <c r="L13" s="30" t="str">
        <f>IF(OR(R12="Pending",LEFT(R12,3)="Tie"),"TBD",R12)</f>
        <v>Team 2</v>
      </c>
      <c r="M13" s="30">
        <v>21</v>
      </c>
      <c r="N13" s="30">
        <v>18</v>
      </c>
      <c r="O13" s="30">
        <v>21</v>
      </c>
      <c r="P13" s="30">
        <f t="shared" si="1"/>
        <v>2</v>
      </c>
      <c r="Q13" s="58" t="str">
        <f t="shared" si="2"/>
        <v>Keerthana + Abhiram</v>
      </c>
      <c r="R13" s="58" t="str">
        <f t="shared" si="3"/>
        <v>Team 2</v>
      </c>
      <c r="S13" s="30"/>
      <c r="T13" s="30"/>
    </row>
    <row r="14" spans="1:20" x14ac:dyDescent="0.15">
      <c r="A14" s="31" t="s">
        <v>149</v>
      </c>
      <c r="B14" s="31" t="s">
        <v>165</v>
      </c>
      <c r="C14" s="31" t="s">
        <v>187</v>
      </c>
      <c r="D14" s="31" t="str">
        <f>Qualifiers!C27</f>
        <v>Pavan D</v>
      </c>
      <c r="E14" s="31" t="str">
        <f>Qualifiers!D27</f>
        <v>Team 5</v>
      </c>
      <c r="F14" s="32"/>
      <c r="G14" s="32"/>
      <c r="H14" s="32"/>
      <c r="I14" s="32" t="str">
        <f t="shared" si="0"/>
        <v/>
      </c>
      <c r="J14" s="33" t="s">
        <v>188</v>
      </c>
      <c r="K14" s="33" t="str">
        <f>Qualifiers!F27</f>
        <v>Navtej</v>
      </c>
      <c r="L14" s="33" t="str">
        <f>Qualifiers!G27</f>
        <v>Team 6</v>
      </c>
      <c r="M14" s="33"/>
      <c r="N14" s="33"/>
      <c r="O14" s="33"/>
      <c r="P14" s="33" t="str">
        <f t="shared" si="1"/>
        <v/>
      </c>
      <c r="Q14" s="31" t="str">
        <f>IF(MAX(N(I14),N(P14))&gt;=2,IF(I14&gt;P14,D14,K14),IF(AND(COUNT(F14:H14,M14:O14)=6,I14=P14),"Tie - review","Pending"))</f>
        <v>Pending</v>
      </c>
      <c r="R14" s="31" t="str">
        <f>IF(OR(Q14="Pending",LEFT(Q14,3)="Tie"),Q14,IF(Q14=D14,E14,L14))</f>
        <v>Pending</v>
      </c>
      <c r="S14" s="33" t="str">
        <f>IF(OR(Q14="Pending",LEFT(Q14,3)="Tie"),"",SUMIF('Qualification Data'!$D$23:$D$34,Q14,'Qualification Data'!$F$23:$F$34)+IF(Q14=D14,SUM(F14:H14),SUM(M14:O14)))</f>
        <v/>
      </c>
      <c r="T14" s="33" t="str">
        <f>IF(S14="","",1+COUNTIF($S$14:$S$17,"&gt;"&amp;S14)+COUNTIF($S$14:S14,S14)-1)</f>
        <v/>
      </c>
    </row>
    <row r="15" spans="1:20" x14ac:dyDescent="0.15">
      <c r="A15" s="31" t="s">
        <v>149</v>
      </c>
      <c r="B15" s="31" t="s">
        <v>166</v>
      </c>
      <c r="C15" s="31" t="s">
        <v>189</v>
      </c>
      <c r="D15" s="31" t="str">
        <f>Qualifiers!C28</f>
        <v>Sujal</v>
      </c>
      <c r="E15" s="31" t="str">
        <f>Qualifiers!D28</f>
        <v>Team 3</v>
      </c>
      <c r="F15" s="32"/>
      <c r="G15" s="32"/>
      <c r="H15" s="32"/>
      <c r="I15" s="32" t="str">
        <f t="shared" si="0"/>
        <v/>
      </c>
      <c r="J15" s="33" t="s">
        <v>190</v>
      </c>
      <c r="K15" s="33" t="str">
        <f>Qualifiers!F28</f>
        <v>Aman Doshi</v>
      </c>
      <c r="L15" s="33" t="str">
        <f>Qualifiers!G28</f>
        <v>Team 1</v>
      </c>
      <c r="M15" s="33"/>
      <c r="N15" s="33"/>
      <c r="O15" s="33"/>
      <c r="P15" s="33" t="str">
        <f t="shared" si="1"/>
        <v/>
      </c>
      <c r="Q15" s="31" t="str">
        <f>IF(MAX(N(I15),N(P15))&gt;=2,IF(I15&gt;P15,D15,K15),IF(AND(COUNT(F15:H15,M15:O15)=6,I15=P15),"Tie - review","Pending"))</f>
        <v>Pending</v>
      </c>
      <c r="R15" s="31" t="str">
        <f>IF(OR(Q15="Pending",LEFT(Q15,3)="Tie"),Q15,IF(Q15=D15,E15,L15))</f>
        <v>Pending</v>
      </c>
      <c r="S15" s="33" t="str">
        <f>IF(OR(Q15="Pending",LEFT(Q15,3)="Tie"),"",SUMIF('Qualification Data'!$D$23:$D$34,Q15,'Qualification Data'!$F$23:$F$34)+IF(Q15=D15,SUM(F15:H15),SUM(M15:O15)))</f>
        <v/>
      </c>
      <c r="T15" s="33" t="str">
        <f>IF(S15="","",1+COUNTIF($S$14:$S$17,"&gt;"&amp;S15)+COUNTIF($S$14:S15,S15)-1)</f>
        <v/>
      </c>
    </row>
    <row r="16" spans="1:20" x14ac:dyDescent="0.15">
      <c r="A16" s="31" t="s">
        <v>149</v>
      </c>
      <c r="B16" s="31" t="s">
        <v>167</v>
      </c>
      <c r="C16" s="31" t="s">
        <v>191</v>
      </c>
      <c r="D16" s="31" t="str">
        <f>Qualifiers!C29</f>
        <v>Saurabh</v>
      </c>
      <c r="E16" s="31" t="str">
        <f>Qualifiers!D29</f>
        <v>Team 1</v>
      </c>
      <c r="F16" s="32">
        <v>9</v>
      </c>
      <c r="G16" s="32">
        <v>14</v>
      </c>
      <c r="H16" s="32">
        <v>0</v>
      </c>
      <c r="I16" s="32">
        <f t="shared" si="0"/>
        <v>0</v>
      </c>
      <c r="J16" s="33" t="s">
        <v>192</v>
      </c>
      <c r="K16" s="33" t="str">
        <f>Qualifiers!F29</f>
        <v>Vidwan</v>
      </c>
      <c r="L16" s="33" t="str">
        <f>Qualifiers!G29</f>
        <v>Team 5</v>
      </c>
      <c r="M16" s="33">
        <v>16</v>
      </c>
      <c r="N16" s="33">
        <v>16</v>
      </c>
      <c r="O16" s="33">
        <v>0</v>
      </c>
      <c r="P16" s="33">
        <f t="shared" si="1"/>
        <v>2</v>
      </c>
      <c r="Q16" s="31" t="str">
        <f>IF(MAX(N(I16),N(P16))&gt;=2,IF(I16&gt;P16,D16,K16),IF(AND(COUNT(F16:H16,M16:O16)=6,I16=P16),"Tie - review","Pending"))</f>
        <v>Vidwan</v>
      </c>
      <c r="R16" s="31" t="str">
        <f>IF(OR(Q16="Pending",LEFT(Q16,3)="Tie"),Q16,IF(Q16=D16,E16,L16))</f>
        <v>Team 5</v>
      </c>
      <c r="S16" s="33">
        <f>IF(OR(Q16="Pending",LEFT(Q16,3)="Tie"),"",SUMIF('Qualification Data'!$D$23:$D$34,Q16,'Qualification Data'!$F$23:$F$34)+IF(Q16=D16,SUM(F16:H16),SUM(M16:O16)))</f>
        <v>129</v>
      </c>
      <c r="T16" s="33">
        <f>IF(S16="","",1+COUNTIF($S$14:$S$17,"&gt;"&amp;S16)+COUNTIF($S$14:S16,S16)-1)</f>
        <v>1</v>
      </c>
    </row>
    <row r="17" spans="1:20" x14ac:dyDescent="0.15">
      <c r="A17" s="31" t="s">
        <v>149</v>
      </c>
      <c r="B17" s="31" t="s">
        <v>168</v>
      </c>
      <c r="C17" s="31" t="s">
        <v>193</v>
      </c>
      <c r="D17" s="31" t="str">
        <f>Qualifiers!C30</f>
        <v>Anshul</v>
      </c>
      <c r="E17" s="31" t="str">
        <f>Qualifiers!D30</f>
        <v>Team 6</v>
      </c>
      <c r="F17" s="32"/>
      <c r="G17" s="32"/>
      <c r="H17" s="32"/>
      <c r="I17" s="32" t="str">
        <f t="shared" si="0"/>
        <v/>
      </c>
      <c r="J17" s="33" t="s">
        <v>194</v>
      </c>
      <c r="K17" s="33" t="str">
        <f>Qualifiers!F30</f>
        <v>Jay B</v>
      </c>
      <c r="L17" s="33" t="str">
        <f>Qualifiers!G30</f>
        <v>Team 4</v>
      </c>
      <c r="M17" s="33"/>
      <c r="N17" s="33"/>
      <c r="O17" s="33"/>
      <c r="P17" s="33" t="str">
        <f t="shared" si="1"/>
        <v/>
      </c>
      <c r="Q17" s="31" t="str">
        <f>IF(MAX(N(I17),N(P17))&gt;=2,IF(I17&gt;P17,D17,K17),IF(AND(COUNT(F17:H17,M17:O17)=6,I17=P17),"Tie - review","Pending"))</f>
        <v>Pending</v>
      </c>
      <c r="R17" s="31" t="str">
        <f>IF(OR(Q17="Pending",LEFT(Q17,3)="Tie"),Q17,IF(Q17=D17,E17,L17))</f>
        <v>Pending</v>
      </c>
      <c r="S17" s="33" t="str">
        <f>IF(OR(Q17="Pending",LEFT(Q17,3)="Tie"),"",SUMIF('Qualification Data'!$D$23:$D$34,Q17,'Qualification Data'!$F$23:$F$34)+IF(Q17=D17,SUM(F17:H17),SUM(M17:O17)))</f>
        <v/>
      </c>
      <c r="T17" s="33" t="str">
        <f>IF(S17="","",1+COUNTIF($S$14:$S$17,"&gt;"&amp;S17)+COUNTIF($S$14:S17,S17)-1)</f>
        <v/>
      </c>
    </row>
    <row r="18" spans="1:20" x14ac:dyDescent="0.15">
      <c r="A18" s="25" t="s">
        <v>149</v>
      </c>
      <c r="B18" s="25" t="s">
        <v>182</v>
      </c>
      <c r="C18" s="25" t="str">
        <f>"QF1 Winner"</f>
        <v>QF1 Winner</v>
      </c>
      <c r="D18" s="25" t="str">
        <f>IF(OR(Q14="Pending",LEFT(Q14,3)="Tie",Q14=""),"TBD",Q14)</f>
        <v>TBD</v>
      </c>
      <c r="E18" s="25" t="str">
        <f>IF(D18="TBD","TBD",R14)</f>
        <v>TBD</v>
      </c>
      <c r="F18" s="26"/>
      <c r="G18" s="26"/>
      <c r="H18" s="26"/>
      <c r="I18" s="26" t="str">
        <f t="shared" si="0"/>
        <v/>
      </c>
      <c r="J18" s="27" t="str">
        <f>"QF3 Winner"</f>
        <v>QF3 Winner</v>
      </c>
      <c r="K18" s="27" t="str">
        <f>IF(OR(Q16="Pending",LEFT(Q16,3)="Tie",Q16=""),"TBD",Q16)</f>
        <v>Vidwan</v>
      </c>
      <c r="L18" s="27" t="str">
        <f>IF(K18="TBD","TBD",R16)</f>
        <v>Team 5</v>
      </c>
      <c r="M18" s="27"/>
      <c r="N18" s="27"/>
      <c r="O18" s="27"/>
      <c r="P18" s="27" t="str">
        <f t="shared" si="1"/>
        <v/>
      </c>
      <c r="Q18" s="25" t="str">
        <f t="shared" si="2"/>
        <v>Pending</v>
      </c>
      <c r="R18" s="25" t="str">
        <f t="shared" si="3"/>
        <v>Pending</v>
      </c>
      <c r="S18" s="27"/>
      <c r="T18" s="27"/>
    </row>
    <row r="19" spans="1:20" x14ac:dyDescent="0.15">
      <c r="A19" s="25" t="s">
        <v>149</v>
      </c>
      <c r="B19" s="25" t="s">
        <v>183</v>
      </c>
      <c r="C19" s="25" t="str">
        <f>"QF2 Winner"</f>
        <v>QF2 Winner</v>
      </c>
      <c r="D19" s="25" t="str">
        <f>IF(OR(Q15="Pending",LEFT(Q15,3)="Tie",Q15=""),"TBD",Q15)</f>
        <v>TBD</v>
      </c>
      <c r="E19" s="25" t="str">
        <f>IF(D19="TBD","TBD",R15)</f>
        <v>TBD</v>
      </c>
      <c r="F19" s="26"/>
      <c r="G19" s="26"/>
      <c r="H19" s="26"/>
      <c r="I19" s="26" t="str">
        <f t="shared" si="0"/>
        <v/>
      </c>
      <c r="J19" s="27" t="str">
        <f>"QF4 Winner"</f>
        <v>QF4 Winner</v>
      </c>
      <c r="K19" s="27" t="str">
        <f>IF(OR(Q17="Pending",LEFT(Q17,3)="Tie",Q17=""),"TBD",Q17)</f>
        <v>TBD</v>
      </c>
      <c r="L19" s="27" t="str">
        <f>IF(K19="TBD","TBD",R17)</f>
        <v>TBD</v>
      </c>
      <c r="M19" s="27"/>
      <c r="N19" s="27"/>
      <c r="O19" s="27"/>
      <c r="P19" s="27" t="str">
        <f t="shared" si="1"/>
        <v/>
      </c>
      <c r="Q19" s="25" t="str">
        <f t="shared" si="2"/>
        <v>Pending</v>
      </c>
      <c r="R19" s="25" t="str">
        <f t="shared" si="3"/>
        <v>Pending</v>
      </c>
      <c r="S19" s="27"/>
      <c r="T19" s="27"/>
    </row>
    <row r="20" spans="1:20" x14ac:dyDescent="0.15">
      <c r="A20" s="28" t="s">
        <v>149</v>
      </c>
      <c r="B20" s="28" t="s">
        <v>184</v>
      </c>
      <c r="C20" s="28" t="s">
        <v>185</v>
      </c>
      <c r="D20" s="28" t="str">
        <f>IF(OR(Q18="Pending",LEFT(Q18,3)="Tie"),"TBD",Q18)</f>
        <v>TBD</v>
      </c>
      <c r="E20" s="28" t="str">
        <f>IF(OR(R18="Pending",LEFT(R18,3)="Tie"),"TBD",R18)</f>
        <v>TBD</v>
      </c>
      <c r="F20" s="29"/>
      <c r="G20" s="29"/>
      <c r="H20" s="29"/>
      <c r="I20" s="29" t="str">
        <f t="shared" si="0"/>
        <v/>
      </c>
      <c r="J20" s="30" t="s">
        <v>186</v>
      </c>
      <c r="K20" s="30" t="str">
        <f>IF(OR(Q19="Pending",LEFT(Q19,3)="Tie"),"TBD",Q19)</f>
        <v>TBD</v>
      </c>
      <c r="L20" s="30" t="str">
        <f>IF(OR(R19="Pending",LEFT(R19,3)="Tie"),"TBD",R19)</f>
        <v>TBD</v>
      </c>
      <c r="M20" s="30"/>
      <c r="N20" s="30"/>
      <c r="O20" s="30"/>
      <c r="P20" s="30" t="str">
        <f t="shared" si="1"/>
        <v/>
      </c>
      <c r="Q20" s="28" t="str">
        <f t="shared" si="2"/>
        <v>Pending</v>
      </c>
      <c r="R20" s="28" t="str">
        <f t="shared" si="3"/>
        <v>Pending</v>
      </c>
      <c r="S20" s="30"/>
      <c r="T20" s="30"/>
    </row>
    <row r="21" spans="1:20" x14ac:dyDescent="0.15">
      <c r="A21" s="31"/>
      <c r="B21" s="31"/>
      <c r="C21" s="31"/>
      <c r="D21" s="31"/>
      <c r="E21" s="31"/>
      <c r="F21" s="32"/>
      <c r="G21" s="32"/>
      <c r="H21" s="32"/>
      <c r="I21" s="32"/>
      <c r="J21" s="33"/>
      <c r="K21" s="33"/>
      <c r="L21" s="33"/>
      <c r="M21" s="33"/>
      <c r="N21" s="33"/>
      <c r="O21" s="33"/>
      <c r="P21" s="33"/>
      <c r="Q21" s="31"/>
      <c r="R21" s="31"/>
      <c r="S21" s="33"/>
      <c r="T21" s="33"/>
    </row>
    <row r="22" spans="1:20" x14ac:dyDescent="0.15">
      <c r="A22" s="31" t="s">
        <v>150</v>
      </c>
      <c r="B22" s="31" t="s">
        <v>165</v>
      </c>
      <c r="C22" s="31" t="s">
        <v>195</v>
      </c>
      <c r="D22" s="31" t="str">
        <f>Qualifiers!C40</f>
        <v>Kushal + Shubham</v>
      </c>
      <c r="E22" s="31" t="str">
        <f>Qualifiers!D40</f>
        <v>Team 2</v>
      </c>
      <c r="F22" s="32"/>
      <c r="G22" s="32"/>
      <c r="H22" s="32"/>
      <c r="I22" s="32" t="str">
        <f t="shared" ref="I22:I28" si="4">IF(OR(F22="",M22=""),"",--(F22&gt;M22)+IF(OR(G22="",N22=""),0,--(G22&gt;N22))+IF(OR(H22="",O22=""),0,--(H22&gt;O22)))</f>
        <v/>
      </c>
      <c r="J22" s="33" t="s">
        <v>196</v>
      </c>
      <c r="K22" s="33" t="str">
        <f>Qualifiers!F40</f>
        <v>Khush B + Hemanth</v>
      </c>
      <c r="L22" s="33" t="str">
        <f>Qualifiers!G40</f>
        <v>Team 4</v>
      </c>
      <c r="M22" s="33"/>
      <c r="N22" s="33"/>
      <c r="O22" s="33"/>
      <c r="P22" s="33" t="str">
        <f t="shared" ref="P22:P28" si="5">IF(OR(F22="",M22=""),"",--(M22&gt;F22)+IF(OR(G22="",N22=""),0,--(N22&gt;G22))+IF(OR(H22="",O22=""),0,--(O22&gt;H22)))</f>
        <v/>
      </c>
      <c r="Q22" s="31" t="str">
        <f>IF(MAX(N(I22),N(P22))&gt;=2,IF(I22&gt;P22,D22,K22),IF(AND(COUNT(F22:H22,M22:O22)=6,I22=P22),"Tie - review","Pending"))</f>
        <v>Pending</v>
      </c>
      <c r="R22" s="31" t="str">
        <f>IF(OR(Q22="Pending",LEFT(Q22,3)="Tie"),Q22,IF(Q22=D22,E22,L22))</f>
        <v>Pending</v>
      </c>
      <c r="S22" s="33" t="str">
        <f>IF(OR(Q22="Pending",LEFT(Q22,3)="Tie"),"",SUMIF('Qualification Data'!$D$36:$D$47,Q22,'Qualification Data'!$F$36:$F$47)+IF(Q22=D22,SUM(F22:H22),SUM(M22:O22)))</f>
        <v/>
      </c>
      <c r="T22" s="33" t="str">
        <f>IF(S22="","",1+COUNTIF($S$22:$S$25,"&gt;"&amp;S22)+COUNTIF($S$22:S22,S22)-1)</f>
        <v/>
      </c>
    </row>
    <row r="23" spans="1:20" x14ac:dyDescent="0.15">
      <c r="A23" s="31" t="s">
        <v>150</v>
      </c>
      <c r="B23" s="31" t="s">
        <v>166</v>
      </c>
      <c r="C23" s="31" t="s">
        <v>197</v>
      </c>
      <c r="D23" s="31" t="str">
        <f>Qualifiers!C41</f>
        <v>Kunal D + Anirudha H</v>
      </c>
      <c r="E23" s="31" t="str">
        <f>Qualifiers!D41</f>
        <v>Team 3</v>
      </c>
      <c r="F23" s="32"/>
      <c r="G23" s="32"/>
      <c r="H23" s="32"/>
      <c r="I23" s="32" t="str">
        <f t="shared" si="4"/>
        <v/>
      </c>
      <c r="J23" s="33" t="s">
        <v>198</v>
      </c>
      <c r="K23" s="33" t="str">
        <f>Qualifiers!F41</f>
        <v>Yuvraj + Karthik KB</v>
      </c>
      <c r="L23" s="33" t="str">
        <f>Qualifiers!G41</f>
        <v>Team 2</v>
      </c>
      <c r="M23" s="33"/>
      <c r="N23" s="33"/>
      <c r="O23" s="33"/>
      <c r="P23" s="33" t="str">
        <f t="shared" si="5"/>
        <v/>
      </c>
      <c r="Q23" s="31" t="str">
        <f>IF(MAX(N(I23),N(P23))&gt;=2,IF(I23&gt;P23,D23,K23),IF(AND(COUNT(F23:H23,M23:O23)=6,I23=P23),"Tie - review","Pending"))</f>
        <v>Pending</v>
      </c>
      <c r="R23" s="31" t="str">
        <f>IF(OR(Q23="Pending",LEFT(Q23,3)="Tie"),Q23,IF(Q23=D23,E23,L23))</f>
        <v>Pending</v>
      </c>
      <c r="S23" s="33" t="str">
        <f>IF(OR(Q23="Pending",LEFT(Q23,3)="Tie"),"",SUMIF('Qualification Data'!$D$36:$D$47,Q23,'Qualification Data'!$F$36:$F$47)+IF(Q23=D23,SUM(F23:H23),SUM(M23:O23)))</f>
        <v/>
      </c>
      <c r="T23" s="33" t="str">
        <f>IF(S23="","",1+COUNTIF($S$22:$S$25,"&gt;"&amp;S23)+COUNTIF($S$22:S23,S23)-1)</f>
        <v/>
      </c>
    </row>
    <row r="24" spans="1:20" x14ac:dyDescent="0.15">
      <c r="A24" s="31" t="s">
        <v>150</v>
      </c>
      <c r="B24" s="31" t="s">
        <v>167</v>
      </c>
      <c r="C24" s="31" t="s">
        <v>199</v>
      </c>
      <c r="D24" s="31" t="str">
        <f>Qualifiers!C42</f>
        <v>Leela Sagar + Ali Akbar</v>
      </c>
      <c r="E24" s="31" t="str">
        <f>Qualifiers!D42</f>
        <v>Team 4</v>
      </c>
      <c r="F24" s="32">
        <v>16</v>
      </c>
      <c r="G24" s="32">
        <v>12</v>
      </c>
      <c r="H24" s="32">
        <v>12</v>
      </c>
      <c r="I24" s="32">
        <f t="shared" si="4"/>
        <v>1</v>
      </c>
      <c r="J24" s="33" t="s">
        <v>200</v>
      </c>
      <c r="K24" s="33" t="str">
        <f>Qualifiers!F42</f>
        <v>Sarvesh H + Deviprasad</v>
      </c>
      <c r="L24" s="33" t="str">
        <f>Qualifiers!G42</f>
        <v>Team 3</v>
      </c>
      <c r="M24" s="33">
        <v>12</v>
      </c>
      <c r="N24" s="33">
        <v>16</v>
      </c>
      <c r="O24" s="33">
        <v>16</v>
      </c>
      <c r="P24" s="33">
        <f t="shared" si="5"/>
        <v>2</v>
      </c>
      <c r="Q24" s="31" t="str">
        <f>IF(MAX(N(I24),N(P24))&gt;=2,IF(I24&gt;P24,D24,K24),IF(AND(COUNT(F24:H24,M24:O24)=6,I24=P24),"Tie - review","Pending"))</f>
        <v>Sarvesh H + Deviprasad</v>
      </c>
      <c r="R24" s="31" t="str">
        <f>IF(OR(Q24="Pending",LEFT(Q24,3)="Tie"),Q24,IF(Q24=D24,E24,L24))</f>
        <v>Team 3</v>
      </c>
      <c r="S24" s="33">
        <f>IF(OR(Q24="Pending",LEFT(Q24,3)="Tie"),"",SUMIF('Qualification Data'!$D$36:$D$47,Q24,'Qualification Data'!$F$36:$F$47)+IF(Q24=D24,SUM(F24:H24),SUM(M24:O24)))</f>
        <v>148</v>
      </c>
      <c r="T24" s="33">
        <f>IF(S24="","",1+COUNTIF($S$22:$S$25,"&gt;"&amp;S24)+COUNTIF($S$22:S24,S24)-1)</f>
        <v>1</v>
      </c>
    </row>
    <row r="25" spans="1:20" x14ac:dyDescent="0.15">
      <c r="A25" s="31" t="s">
        <v>150</v>
      </c>
      <c r="B25" s="31" t="s">
        <v>168</v>
      </c>
      <c r="C25" s="31" t="s">
        <v>201</v>
      </c>
      <c r="D25" s="31" t="str">
        <f>Qualifiers!C43</f>
        <v>Nagarajan + Chandrashaker Joshi</v>
      </c>
      <c r="E25" s="31" t="str">
        <f>Qualifiers!D43</f>
        <v>Team 6</v>
      </c>
      <c r="F25" s="32">
        <v>16</v>
      </c>
      <c r="G25" s="32">
        <v>16</v>
      </c>
      <c r="H25" s="32">
        <v>0</v>
      </c>
      <c r="I25" s="32">
        <f t="shared" si="4"/>
        <v>2</v>
      </c>
      <c r="J25" s="33" t="s">
        <v>202</v>
      </c>
      <c r="K25" s="33" t="str">
        <f>Qualifiers!F43</f>
        <v>Rohan + Bhuvanesh</v>
      </c>
      <c r="L25" s="33" t="str">
        <f>Qualifiers!G43</f>
        <v>Team 6</v>
      </c>
      <c r="M25" s="33">
        <v>6</v>
      </c>
      <c r="N25" s="33">
        <v>8</v>
      </c>
      <c r="O25" s="33">
        <v>0</v>
      </c>
      <c r="P25" s="33">
        <f t="shared" si="5"/>
        <v>0</v>
      </c>
      <c r="Q25" s="31" t="str">
        <f>IF(MAX(N(I25),N(P25))&gt;=2,IF(I25&gt;P25,D25,K25),IF(AND(COUNT(F25:H25,M25:O25)=6,I25=P25),"Tie - review","Pending"))</f>
        <v>Nagarajan + Chandrashaker Joshi</v>
      </c>
      <c r="R25" s="31" t="str">
        <f>IF(OR(Q25="Pending",LEFT(Q25,3)="Tie"),Q25,IF(Q25=D25,E25,L25))</f>
        <v>Team 6</v>
      </c>
      <c r="S25" s="33">
        <f>IF(OR(Q25="Pending",LEFT(Q25,3)="Tie"),"",SUMIF('Qualification Data'!$D$36:$D$47,Q25,'Qualification Data'!$F$36:$F$47)+IF(Q25=D25,SUM(F25:H25),SUM(M25:O25)))</f>
        <v>126</v>
      </c>
      <c r="T25" s="33">
        <f>IF(S25="","",1+COUNTIF($S$22:$S$25,"&gt;"&amp;S25)+COUNTIF($S$22:S25,S25)-1)</f>
        <v>2</v>
      </c>
    </row>
    <row r="26" spans="1:20" x14ac:dyDescent="0.15">
      <c r="A26" s="25" t="s">
        <v>150</v>
      </c>
      <c r="B26" s="25" t="s">
        <v>182</v>
      </c>
      <c r="C26" s="25" t="str">
        <f>"QF1 Winner"</f>
        <v>QF1 Winner</v>
      </c>
      <c r="D26" s="25" t="str">
        <f>IF(OR(Q22="Pending",LEFT(Q22,3)="Tie",Q22=""),"TBD",Q22)</f>
        <v>TBD</v>
      </c>
      <c r="E26" s="25" t="str">
        <f>IF(D26="TBD","TBD",R22)</f>
        <v>TBD</v>
      </c>
      <c r="F26" s="26"/>
      <c r="G26" s="26"/>
      <c r="H26" s="26"/>
      <c r="I26" s="26" t="str">
        <f t="shared" si="4"/>
        <v/>
      </c>
      <c r="J26" s="27" t="str">
        <f>"QF3 Winner"</f>
        <v>QF3 Winner</v>
      </c>
      <c r="K26" s="27" t="str">
        <f>IF(OR(Q24="Pending",LEFT(Q24,3)="Tie",Q24=""),"TBD",Q24)</f>
        <v>Sarvesh H + Deviprasad</v>
      </c>
      <c r="L26" s="27" t="str">
        <f>IF(K26="TBD","TBD",R24)</f>
        <v>Team 3</v>
      </c>
      <c r="M26" s="27"/>
      <c r="N26" s="27"/>
      <c r="O26" s="27"/>
      <c r="P26" s="27" t="str">
        <f t="shared" si="5"/>
        <v/>
      </c>
      <c r="Q26" s="25" t="str">
        <f t="shared" ref="Q26:Q28" si="6">IF(OR(I26="",P26=""),"Pending",IF(I26=P26,"Tie - review",IF(I26&gt;P26,D26,K26)))</f>
        <v>Pending</v>
      </c>
      <c r="R26" s="25" t="str">
        <f t="shared" ref="R26:R28" si="7">IF(OR(I26="",P26=""),"Pending",IF(I26=P26,"Tie - review",IF(I26&gt;P26,E26,L26)))</f>
        <v>Pending</v>
      </c>
      <c r="S26" s="27"/>
      <c r="T26" s="27"/>
    </row>
    <row r="27" spans="1:20" x14ac:dyDescent="0.15">
      <c r="A27" s="25" t="s">
        <v>150</v>
      </c>
      <c r="B27" s="25" t="s">
        <v>183</v>
      </c>
      <c r="C27" s="25" t="str">
        <f>"QF2 Winner"</f>
        <v>QF2 Winner</v>
      </c>
      <c r="D27" s="25" t="str">
        <f>IF(OR(Q23="Pending",LEFT(Q23,3)="Tie",Q23=""),"TBD",Q23)</f>
        <v>TBD</v>
      </c>
      <c r="E27" s="25" t="str">
        <f>IF(D27="TBD","TBD",R23)</f>
        <v>TBD</v>
      </c>
      <c r="F27" s="26"/>
      <c r="G27" s="26"/>
      <c r="H27" s="26"/>
      <c r="I27" s="26" t="str">
        <f t="shared" si="4"/>
        <v/>
      </c>
      <c r="J27" s="27" t="str">
        <f>"QF4 Winner"</f>
        <v>QF4 Winner</v>
      </c>
      <c r="K27" s="27" t="str">
        <f>IF(OR(Q25="Pending",LEFT(Q25,3)="Tie",Q25=""),"TBD",Q25)</f>
        <v>Nagarajan + Chandrashaker Joshi</v>
      </c>
      <c r="L27" s="27" t="str">
        <f>IF(K27="TBD","TBD",R25)</f>
        <v>Team 6</v>
      </c>
      <c r="M27" s="27"/>
      <c r="N27" s="27"/>
      <c r="O27" s="27"/>
      <c r="P27" s="27" t="str">
        <f t="shared" si="5"/>
        <v/>
      </c>
      <c r="Q27" s="25" t="str">
        <f t="shared" si="6"/>
        <v>Pending</v>
      </c>
      <c r="R27" s="25" t="str">
        <f t="shared" si="7"/>
        <v>Pending</v>
      </c>
      <c r="S27" s="27"/>
      <c r="T27" s="27"/>
    </row>
    <row r="28" spans="1:20" x14ac:dyDescent="0.15">
      <c r="A28" s="28" t="s">
        <v>150</v>
      </c>
      <c r="B28" s="28" t="s">
        <v>184</v>
      </c>
      <c r="C28" s="28" t="s">
        <v>185</v>
      </c>
      <c r="D28" s="28" t="str">
        <f>IF(OR(Q26="Pending",LEFT(Q26,3)="Tie"),"TBD",Q26)</f>
        <v>TBD</v>
      </c>
      <c r="E28" s="28" t="str">
        <f>IF(OR(R26="Pending",LEFT(R26,3)="Tie"),"TBD",R26)</f>
        <v>TBD</v>
      </c>
      <c r="F28" s="29"/>
      <c r="G28" s="29"/>
      <c r="H28" s="29"/>
      <c r="I28" s="29" t="str">
        <f t="shared" si="4"/>
        <v/>
      </c>
      <c r="J28" s="30" t="s">
        <v>186</v>
      </c>
      <c r="K28" s="30" t="str">
        <f>IF(OR(Q27="Pending",LEFT(Q27,3)="Tie"),"TBD",Q27)</f>
        <v>TBD</v>
      </c>
      <c r="L28" s="30" t="str">
        <f>IF(OR(R27="Pending",LEFT(R27,3)="Tie"),"TBD",R27)</f>
        <v>TBD</v>
      </c>
      <c r="M28" s="30"/>
      <c r="N28" s="30"/>
      <c r="O28" s="30"/>
      <c r="P28" s="30" t="str">
        <f t="shared" si="5"/>
        <v/>
      </c>
      <c r="Q28" s="28" t="str">
        <f t="shared" si="6"/>
        <v>Pending</v>
      </c>
      <c r="R28" s="28" t="str">
        <f t="shared" si="7"/>
        <v>Pending</v>
      </c>
      <c r="S28" s="30"/>
      <c r="T28" s="30"/>
    </row>
  </sheetData>
  <mergeCells count="2">
    <mergeCell ref="A1:T1"/>
    <mergeCell ref="A2:T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5B48-C20A-4CC4-83D7-646DF569BC97}">
  <dimension ref="A1:J11"/>
  <sheetViews>
    <sheetView showGridLines="0" workbookViewId="0">
      <selection activeCell="I8" sqref="I8"/>
    </sheetView>
  </sheetViews>
  <sheetFormatPr baseColWidth="10" defaultColWidth="8.6640625" defaultRowHeight="12" x14ac:dyDescent="0.15"/>
  <cols>
    <col min="1" max="1" width="16" style="14" customWidth="1"/>
    <col min="2" max="2" width="18.83203125" style="14" customWidth="1"/>
    <col min="3" max="3" width="20" style="14" customWidth="1"/>
    <col min="4" max="6" width="18.83203125" style="14" customWidth="1"/>
    <col min="7" max="8" width="19.1640625" style="14" customWidth="1"/>
    <col min="9" max="10" width="16.6640625" style="14" customWidth="1"/>
    <col min="11" max="16384" width="8.6640625" style="14"/>
  </cols>
  <sheetData>
    <row r="1" spans="1:10" x14ac:dyDescent="0.15">
      <c r="A1" s="66" t="s">
        <v>203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34" customHeight="1" x14ac:dyDescent="0.15">
      <c r="A2" s="68" t="s">
        <v>246</v>
      </c>
      <c r="B2" s="68"/>
      <c r="C2" s="68"/>
      <c r="D2" s="68"/>
      <c r="E2" s="68"/>
      <c r="F2" s="68"/>
      <c r="G2" s="68"/>
      <c r="H2" s="68"/>
      <c r="I2" s="68"/>
      <c r="J2" s="68"/>
    </row>
    <row r="3" spans="1:10" x14ac:dyDescent="0.15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ht="13" x14ac:dyDescent="0.15">
      <c r="A4" s="34" t="s">
        <v>131</v>
      </c>
      <c r="B4" s="34" t="s">
        <v>204</v>
      </c>
      <c r="C4" s="34" t="s">
        <v>247</v>
      </c>
      <c r="D4" s="34" t="s">
        <v>245</v>
      </c>
      <c r="E4" s="34" t="s">
        <v>205</v>
      </c>
      <c r="F4" s="34" t="s">
        <v>206</v>
      </c>
      <c r="G4" s="34" t="s">
        <v>207</v>
      </c>
      <c r="H4" s="34" t="s">
        <v>208</v>
      </c>
      <c r="I4" s="34" t="s">
        <v>209</v>
      </c>
      <c r="J4" s="34" t="s">
        <v>134</v>
      </c>
    </row>
    <row r="5" spans="1:10" x14ac:dyDescent="0.15">
      <c r="A5" s="19" t="s">
        <v>2</v>
      </c>
      <c r="B5" s="35">
        <f>COUNTIF('Shuffled Matches'!$L$3:$L$112,$A5)</f>
        <v>17</v>
      </c>
      <c r="C5" s="35">
        <f>SUMIFS(Finals!$I$5:$I$28,Finals!$E$5:$E$28,$A5,Finals!$B$5:$B$28,"Quarterfinal*")+SUMIFS(Finals!$P$5:$P$28,Finals!$L$5:$L$28,$A5,Finals!$B$5:$B$28,"Quarterfinal*")+SUMIFS(Finals!$I$5:$I$28,Finals!$E$5:$E$28,$A5,Finals!$B$5:$B$28,"Semifinal*")+SUMIFS(Finals!$P$5:$P$28,Finals!$L$5:$L$28,$A5,Finals!$B$5:$B$28,"Semifinal*")</f>
        <v>1</v>
      </c>
      <c r="D5" s="35">
        <f t="shared" ref="D5:D10" si="0">B5+C5</f>
        <v>18</v>
      </c>
      <c r="E5" s="35">
        <f>COUNTIFS(Finals!$B$5:$B$28,"Final",Finals!$R$5:$R$28,$A5,Finals!$E$5:$E$28,"Team*",Finals!$L$5:$L$28,"Team*")</f>
        <v>0</v>
      </c>
      <c r="F5" s="35" cm="1">
        <f t="array" ref="F5">SUMPRODUCT((Finals!$B$5:$B$28="Final")*(LEFT(Finals!$R$5:$R$28,4)="Team")*(Finals!$R$5:$R$28&lt;&gt;$A5)*(LEFT(Finals!$E$5:$E$28,4)="Team")*(LEFT(Finals!$L$5:$L$28,4)="Team")*--(((Finals!$E$5:$E$28=$A5)+(Finals!$L$5:$L$28=$A5))&gt;0)*--(Finals!$E$5:$E$28&lt;&gt;Finals!$L$5:$L$28))</f>
        <v>0</v>
      </c>
      <c r="G5" s="35">
        <f>E5*5</f>
        <v>0</v>
      </c>
      <c r="H5" s="35">
        <f>F5*3</f>
        <v>0</v>
      </c>
      <c r="I5" s="36">
        <f>D5+G5+H5</f>
        <v>18</v>
      </c>
      <c r="J5" s="36">
        <f>_xlfn.RANK.EQ(I5,$I$5:$I$10,0)</f>
        <v>5</v>
      </c>
    </row>
    <row r="6" spans="1:10" x14ac:dyDescent="0.15">
      <c r="A6" s="19" t="s">
        <v>3</v>
      </c>
      <c r="B6" s="35">
        <f>COUNTIF('Shuffled Matches'!$L$3:$L$112,$A6)</f>
        <v>19</v>
      </c>
      <c r="C6" s="35">
        <f>SUMIFS(Finals!$I$5:$I$28,Finals!$E$5:$E$28,$A6,Finals!$B$5:$B$28,"Quarterfinal*")+SUMIFS(Finals!$P$5:$P$28,Finals!$L$5:$L$28,$A6,Finals!$B$5:$B$28,"Quarterfinal*")+SUMIFS(Finals!$I$5:$I$28,Finals!$E$5:$E$28,$A6,Finals!$B$5:$B$28,"Semifinal*")+SUMIFS(Finals!$P$5:$P$28,Finals!$L$5:$L$28,$A6,Finals!$B$5:$B$28,"Semifinal*")</f>
        <v>5</v>
      </c>
      <c r="D6" s="35">
        <f t="shared" si="0"/>
        <v>24</v>
      </c>
      <c r="E6" s="35">
        <f>COUNTIFS(Finals!$B$5:$B$28,"Final",Finals!$R$5:$R$28,$A6,Finals!$E$5:$E$28,"Team*",Finals!$L$5:$L$28,"Team*")</f>
        <v>1</v>
      </c>
      <c r="F6" s="35" cm="1">
        <f t="array" ref="F6">SUMPRODUCT((Finals!$B$5:$B$28="Final")*(LEFT(Finals!$R$5:$R$28,4)="Team")*(Finals!$R$5:$R$28&lt;&gt;$A6)*(LEFT(Finals!$E$5:$E$28,4)="Team")*(LEFT(Finals!$L$5:$L$28,4)="Team")*--(((Finals!$E$5:$E$28=$A6)+(Finals!$L$5:$L$28=$A6))&gt;0)*--(Finals!$E$5:$E$28&lt;&gt;Finals!$L$5:$L$28))</f>
        <v>0</v>
      </c>
      <c r="G6" s="35">
        <f t="shared" ref="G6:G10" si="1">E6*5</f>
        <v>5</v>
      </c>
      <c r="H6" s="35">
        <f t="shared" ref="H6:H10" si="2">F6*3</f>
        <v>0</v>
      </c>
      <c r="I6" s="36">
        <f t="shared" ref="I6:I10" si="3">D6+G6+H6</f>
        <v>29</v>
      </c>
      <c r="J6" s="36">
        <f t="shared" ref="J6:J10" si="4">_xlfn.RANK.EQ(I6,$I$5:$I$10,0)</f>
        <v>1</v>
      </c>
    </row>
    <row r="7" spans="1:10" x14ac:dyDescent="0.15">
      <c r="A7" s="19" t="s">
        <v>63</v>
      </c>
      <c r="B7" s="35">
        <f>COUNTIF('Shuffled Matches'!$L$3:$L$112,$A7)</f>
        <v>21</v>
      </c>
      <c r="C7" s="35">
        <f>SUMIFS(Finals!$I$5:$I$28,Finals!$E$5:$E$28,$A7,Finals!$B$5:$B$28,"Quarterfinal*")+SUMIFS(Finals!$P$5:$P$28,Finals!$L$5:$L$28,$A7,Finals!$B$5:$B$28,"Quarterfinal*")+SUMIFS(Finals!$I$5:$I$28,Finals!$E$5:$E$28,$A7,Finals!$B$5:$B$28,"Semifinal*")+SUMIFS(Finals!$P$5:$P$28,Finals!$L$5:$L$28,$A7,Finals!$B$5:$B$28,"Semifinal*")</f>
        <v>4</v>
      </c>
      <c r="D7" s="35">
        <f t="shared" si="0"/>
        <v>25</v>
      </c>
      <c r="E7" s="35">
        <f>COUNTIFS(Finals!$B$5:$B$28,"Final",Finals!$R$5:$R$28,$A7,Finals!$E$5:$E$28,"Team*",Finals!$L$5:$L$28,"Team*")</f>
        <v>0</v>
      </c>
      <c r="F7" s="35" cm="1">
        <f t="array" ref="F7">SUMPRODUCT((Finals!$B$5:$B$28="Final")*(LEFT(Finals!$R$5:$R$28,4)="Team")*(Finals!$R$5:$R$28&lt;&gt;$A7)*(LEFT(Finals!$E$5:$E$28,4)="Team")*(LEFT(Finals!$L$5:$L$28,4)="Team")*--(((Finals!$E$5:$E$28=$A7)+(Finals!$L$5:$L$28=$A7))&gt;0)*--(Finals!$E$5:$E$28&lt;&gt;Finals!$L$5:$L$28))</f>
        <v>1</v>
      </c>
      <c r="G7" s="35">
        <f t="shared" si="1"/>
        <v>0</v>
      </c>
      <c r="H7" s="35">
        <f t="shared" si="2"/>
        <v>3</v>
      </c>
      <c r="I7" s="36">
        <f t="shared" si="3"/>
        <v>28</v>
      </c>
      <c r="J7" s="36">
        <f t="shared" si="4"/>
        <v>2</v>
      </c>
    </row>
    <row r="8" spans="1:10" s="48" customFormat="1" x14ac:dyDescent="0.15">
      <c r="A8" s="19" t="s">
        <v>59</v>
      </c>
      <c r="B8" s="35">
        <f>COUNTIF('Shuffled Matches'!$L$3:$L$112,$A8)</f>
        <v>19</v>
      </c>
      <c r="C8" s="35">
        <f>SUMIFS(Finals!$I$5:$I$28,Finals!$E$5:$E$28,$A8,Finals!$B$5:$B$28,"Quarterfinal*")+SUMIFS(Finals!$P$5:$P$28,Finals!$L$5:$L$28,$A8,Finals!$B$5:$B$28,"Quarterfinal*")+SUMIFS(Finals!$I$5:$I$28,Finals!$E$5:$E$28,$A8,Finals!$B$5:$B$28,"Semifinal*")+SUMIFS(Finals!$P$5:$P$28,Finals!$L$5:$L$28,$A8,Finals!$B$5:$B$28,"Semifinal*")</f>
        <v>5</v>
      </c>
      <c r="D8" s="35">
        <f t="shared" si="0"/>
        <v>24</v>
      </c>
      <c r="E8" s="35">
        <f>COUNTIFS(Finals!$B$5:$B$28,"Final",Finals!$R$5:$R$28,$A8,Finals!$E$5:$E$28,"Team*",Finals!$L$5:$L$28,"Team*")</f>
        <v>0</v>
      </c>
      <c r="F8" s="35" cm="1">
        <f t="array" ref="F8">SUMPRODUCT((Finals!$B$5:$B$28="Final")*(LEFT(Finals!$R$5:$R$28,4)="Team")*(Finals!$R$5:$R$28&lt;&gt;$A8)*(LEFT(Finals!$E$5:$E$28,4)="Team")*(LEFT(Finals!$L$5:$L$28,4)="Team")*--(((Finals!$E$5:$E$28=$A8)+(Finals!$L$5:$L$28=$A8))&gt;0)*--(Finals!$E$5:$E$28&lt;&gt;Finals!$L$5:$L$28))</f>
        <v>1</v>
      </c>
      <c r="G8" s="35">
        <f t="shared" si="1"/>
        <v>0</v>
      </c>
      <c r="H8" s="35">
        <f t="shared" si="2"/>
        <v>3</v>
      </c>
      <c r="I8" s="36">
        <f t="shared" si="3"/>
        <v>27</v>
      </c>
      <c r="J8" s="36">
        <f t="shared" si="4"/>
        <v>3</v>
      </c>
    </row>
    <row r="9" spans="1:10" x14ac:dyDescent="0.15">
      <c r="A9" s="19" t="s">
        <v>50</v>
      </c>
      <c r="B9" s="35">
        <f>COUNTIF('Shuffled Matches'!$L$3:$L$112,$A9)</f>
        <v>10</v>
      </c>
      <c r="C9" s="35">
        <f>SUMIFS(Finals!$I$5:$I$28,Finals!$E$5:$E$28,$A9,Finals!$B$5:$B$28,"Quarterfinal*")+SUMIFS(Finals!$P$5:$P$28,Finals!$L$5:$L$28,$A9,Finals!$B$5:$B$28,"Quarterfinal*")+SUMIFS(Finals!$I$5:$I$28,Finals!$E$5:$E$28,$A9,Finals!$B$5:$B$28,"Semifinal*")+SUMIFS(Finals!$P$5:$P$28,Finals!$L$5:$L$28,$A9,Finals!$B$5:$B$28,"Semifinal*")</f>
        <v>2</v>
      </c>
      <c r="D9" s="35">
        <f t="shared" si="0"/>
        <v>12</v>
      </c>
      <c r="E9" s="35">
        <f>COUNTIFS(Finals!$B$5:$B$28,"Final",Finals!$R$5:$R$28,$A9,Finals!$E$5:$E$28,"Team*",Finals!$L$5:$L$28,"Team*")</f>
        <v>0</v>
      </c>
      <c r="F9" s="35" cm="1">
        <f t="array" ref="F9">SUMPRODUCT((Finals!$B$5:$B$28="Final")*(LEFT(Finals!$R$5:$R$28,4)="Team")*(Finals!$R$5:$R$28&lt;&gt;$A9)*(LEFT(Finals!$E$5:$E$28,4)="Team")*(LEFT(Finals!$L$5:$L$28,4)="Team")*--(((Finals!$E$5:$E$28=$A9)+(Finals!$L$5:$L$28=$A9))&gt;0)*--(Finals!$E$5:$E$28&lt;&gt;Finals!$L$5:$L$28))</f>
        <v>0</v>
      </c>
      <c r="G9" s="35">
        <f t="shared" si="1"/>
        <v>0</v>
      </c>
      <c r="H9" s="35">
        <f t="shared" si="2"/>
        <v>0</v>
      </c>
      <c r="I9" s="36">
        <f t="shared" si="3"/>
        <v>12</v>
      </c>
      <c r="J9" s="36">
        <f t="shared" si="4"/>
        <v>6</v>
      </c>
    </row>
    <row r="10" spans="1:10" x14ac:dyDescent="0.15">
      <c r="A10" s="19" t="s">
        <v>51</v>
      </c>
      <c r="B10" s="35">
        <f>COUNTIF('Shuffled Matches'!$L$3:$L$112,$A10)</f>
        <v>17</v>
      </c>
      <c r="C10" s="35">
        <f>SUMIFS(Finals!$I$5:$I$28,Finals!$E$5:$E$28,$A10,Finals!$B$5:$B$28,"Quarterfinal*")+SUMIFS(Finals!$P$5:$P$28,Finals!$L$5:$L$28,$A10,Finals!$B$5:$B$28,"Quarterfinal*")+SUMIFS(Finals!$I$5:$I$28,Finals!$E$5:$E$28,$A10,Finals!$B$5:$B$28,"Semifinal*")+SUMIFS(Finals!$P$5:$P$28,Finals!$L$5:$L$28,$A10,Finals!$B$5:$B$28,"Semifinal*")</f>
        <v>4</v>
      </c>
      <c r="D10" s="35">
        <f t="shared" si="0"/>
        <v>21</v>
      </c>
      <c r="E10" s="35">
        <f>COUNTIFS(Finals!$B$5:$B$28,"Final",Finals!$R$5:$R$28,$A10,Finals!$E$5:$E$28,"Team*",Finals!$L$5:$L$28,"Team*")</f>
        <v>1</v>
      </c>
      <c r="F10" s="35" cm="1">
        <f t="array" ref="F10">SUMPRODUCT((Finals!$B$5:$B$28="Final")*(LEFT(Finals!$R$5:$R$28,4)="Team")*(Finals!$R$5:$R$28&lt;&gt;$A10)*(LEFT(Finals!$E$5:$E$28,4)="Team")*(LEFT(Finals!$L$5:$L$28,4)="Team")*--(((Finals!$E$5:$E$28=$A10)+(Finals!$L$5:$L$28=$A10))&gt;0)*--(Finals!$E$5:$E$28&lt;&gt;Finals!$L$5:$L$28))</f>
        <v>0</v>
      </c>
      <c r="G10" s="35">
        <f t="shared" si="1"/>
        <v>5</v>
      </c>
      <c r="H10" s="35">
        <f t="shared" si="2"/>
        <v>0</v>
      </c>
      <c r="I10" s="36">
        <f t="shared" si="3"/>
        <v>26</v>
      </c>
      <c r="J10" s="36">
        <f t="shared" si="4"/>
        <v>4</v>
      </c>
    </row>
    <row r="11" spans="1:10" ht="20.25" customHeight="1" x14ac:dyDescent="0.15">
      <c r="A11" s="69" t="s">
        <v>210</v>
      </c>
      <c r="B11" s="69"/>
      <c r="C11" s="69"/>
      <c r="D11" s="69"/>
      <c r="E11" s="69"/>
      <c r="F11" s="69"/>
      <c r="G11" s="69"/>
      <c r="H11" s="69"/>
      <c r="I11" s="69"/>
      <c r="J11" s="69"/>
    </row>
  </sheetData>
  <mergeCells count="3">
    <mergeCell ref="A1:J1"/>
    <mergeCell ref="A2:J2"/>
    <mergeCell ref="A11:J1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77C1-5009-4183-BEC7-230DA3E9C589}">
  <dimension ref="A1:H81"/>
  <sheetViews>
    <sheetView workbookViewId="0"/>
  </sheetViews>
  <sheetFormatPr baseColWidth="10" defaultColWidth="8.83203125" defaultRowHeight="15" x14ac:dyDescent="0.2"/>
  <cols>
    <col min="1" max="1" width="22.6640625" customWidth="1"/>
    <col min="2" max="8" width="14.5" customWidth="1"/>
  </cols>
  <sheetData>
    <row r="1" spans="1:8" ht="32" customHeight="1" x14ac:dyDescent="0.3">
      <c r="A1" s="71" t="s">
        <v>230</v>
      </c>
      <c r="B1" s="72"/>
      <c r="C1" s="72"/>
      <c r="D1" s="72"/>
      <c r="E1" s="72"/>
      <c r="F1" s="72"/>
      <c r="G1" s="72"/>
      <c r="H1" s="72"/>
    </row>
    <row r="2" spans="1:8" ht="30" customHeight="1" x14ac:dyDescent="0.2">
      <c r="A2" s="72" t="s">
        <v>231</v>
      </c>
      <c r="B2" s="72"/>
      <c r="C2" s="72"/>
      <c r="D2" s="72"/>
      <c r="E2" s="72"/>
      <c r="F2" s="72"/>
      <c r="G2" s="72"/>
      <c r="H2" s="72"/>
    </row>
    <row r="4" spans="1:8" x14ac:dyDescent="0.2">
      <c r="A4" s="70" t="s">
        <v>232</v>
      </c>
      <c r="B4" s="70"/>
      <c r="C4" s="70"/>
      <c r="D4" s="70"/>
      <c r="E4" s="70"/>
      <c r="F4" s="70"/>
      <c r="G4" s="70"/>
      <c r="H4" s="70"/>
    </row>
    <row r="5" spans="1:8" x14ac:dyDescent="0.2">
      <c r="A5" s="50" t="s">
        <v>131</v>
      </c>
      <c r="B5" s="50" t="s">
        <v>226</v>
      </c>
      <c r="C5" s="50" t="s">
        <v>233</v>
      </c>
      <c r="D5" s="50" t="s">
        <v>138</v>
      </c>
      <c r="E5" s="50" t="s">
        <v>234</v>
      </c>
      <c r="F5" s="50" t="s">
        <v>235</v>
      </c>
      <c r="G5" s="50" t="s">
        <v>236</v>
      </c>
      <c r="H5" s="50" t="s">
        <v>134</v>
      </c>
    </row>
    <row r="6" spans="1:8" x14ac:dyDescent="0.2">
      <c r="A6" t="s">
        <v>2</v>
      </c>
      <c r="B6">
        <f>COUNTIFS('Shuffled Matches'!$L$3:$L$107,$A6)</f>
        <v>17</v>
      </c>
      <c r="C6">
        <f>COUNTIFS('Shuffled Matches'!$D$3:$D$107,$A6,'Shuffled Matches'!$L$3:$L$107,"Team*")+COUNTIFS('Shuffled Matches'!$E$3:$E$107,$A6,'Shuffled Matches'!$L$3:$L$107,"Team*")-B6</f>
        <v>17</v>
      </c>
      <c r="D6" s="50">
        <f t="shared" ref="D6:D11" si="0">2*B6</f>
        <v>34</v>
      </c>
      <c r="E6">
        <f>SUMIFS('Shuffled Matches'!$N$3:$N$107,'Shuffled Matches'!$D$3:$D$107,$A6)+SUMIFS('Shuffled Matches'!$O$3:$O$107,'Shuffled Matches'!$E$3:$E$107,$A6)</f>
        <v>585</v>
      </c>
      <c r="F6">
        <f>SUMIFS('Shuffled Matches'!$O$3:$O$107,'Shuffled Matches'!$D$3:$D$107,$A6)+SUMIFS('Shuffled Matches'!$N$3:$N$107,'Shuffled Matches'!$E$3:$E$107,$A6)</f>
        <v>602</v>
      </c>
      <c r="G6" s="51">
        <f t="shared" ref="G6:G11" si="1">E6-F6</f>
        <v>-17</v>
      </c>
      <c r="H6">
        <f t="shared" ref="H6:H11" si="2">1+COUNTIF($D$6:$D$11,"&gt;"&amp;D6)+COUNTIFS($D$6:$D$11,D6,$G$6:$G$11,"&gt;"&amp;G6)+COUNTIFS($D$6:$D$11,D6,$G$6:$G$11,G6,$A$6:$A$11,"&lt;"&amp;A6)</f>
        <v>5</v>
      </c>
    </row>
    <row r="7" spans="1:8" x14ac:dyDescent="0.2">
      <c r="A7" t="s">
        <v>3</v>
      </c>
      <c r="B7">
        <f>COUNTIFS('Shuffled Matches'!$L$3:$L$107,$A7)</f>
        <v>19</v>
      </c>
      <c r="C7">
        <f>COUNTIFS('Shuffled Matches'!$D$3:$D$107,$A7,'Shuffled Matches'!$L$3:$L$107,"Team*")+COUNTIFS('Shuffled Matches'!$E$3:$E$107,$A7,'Shuffled Matches'!$L$3:$L$107,"Team*")-B7</f>
        <v>15</v>
      </c>
      <c r="D7" s="50">
        <f t="shared" si="0"/>
        <v>38</v>
      </c>
      <c r="E7">
        <f>SUMIFS('Shuffled Matches'!$N$3:$N$107,'Shuffled Matches'!$D$3:$D$107,$A7)+SUMIFS('Shuffled Matches'!$O$3:$O$107,'Shuffled Matches'!$E$3:$E$107,$A7)</f>
        <v>539</v>
      </c>
      <c r="F7">
        <f>SUMIFS('Shuffled Matches'!$O$3:$O$107,'Shuffled Matches'!$D$3:$D$107,$A7)+SUMIFS('Shuffled Matches'!$N$3:$N$107,'Shuffled Matches'!$E$3:$E$107,$A7)</f>
        <v>572</v>
      </c>
      <c r="G7" s="51">
        <f t="shared" si="1"/>
        <v>-33</v>
      </c>
      <c r="H7">
        <f t="shared" si="2"/>
        <v>3</v>
      </c>
    </row>
    <row r="8" spans="1:8" x14ac:dyDescent="0.2">
      <c r="A8" t="s">
        <v>63</v>
      </c>
      <c r="B8">
        <f>COUNTIFS('Shuffled Matches'!$L$3:$L$107,$A8)</f>
        <v>21</v>
      </c>
      <c r="C8">
        <f>COUNTIFS('Shuffled Matches'!$D$3:$D$107,$A8,'Shuffled Matches'!$L$3:$L$107,"Team*")+COUNTIFS('Shuffled Matches'!$E$3:$E$107,$A8,'Shuffled Matches'!$L$3:$L$107,"Team*")-B8</f>
        <v>14</v>
      </c>
      <c r="D8" s="50">
        <f t="shared" si="0"/>
        <v>42</v>
      </c>
      <c r="E8">
        <f>SUMIFS('Shuffled Matches'!$N$3:$N$107,'Shuffled Matches'!$D$3:$D$107,$A8)+SUMIFS('Shuffled Matches'!$O$3:$O$107,'Shuffled Matches'!$E$3:$E$107,$A8)</f>
        <v>643</v>
      </c>
      <c r="F8">
        <f>SUMIFS('Shuffled Matches'!$O$3:$O$107,'Shuffled Matches'!$D$3:$D$107,$A8)+SUMIFS('Shuffled Matches'!$N$3:$N$107,'Shuffled Matches'!$E$3:$E$107,$A8)</f>
        <v>622</v>
      </c>
      <c r="G8" s="51">
        <f t="shared" si="1"/>
        <v>21</v>
      </c>
      <c r="H8">
        <f t="shared" si="2"/>
        <v>1</v>
      </c>
    </row>
    <row r="9" spans="1:8" x14ac:dyDescent="0.2">
      <c r="A9" t="s">
        <v>59</v>
      </c>
      <c r="B9">
        <f>COUNTIFS('Shuffled Matches'!$L$3:$L$107,$A9)</f>
        <v>19</v>
      </c>
      <c r="C9">
        <f>COUNTIFS('Shuffled Matches'!$D$3:$D$107,$A9,'Shuffled Matches'!$L$3:$L$107,"Team*")+COUNTIFS('Shuffled Matches'!$E$3:$E$107,$A9,'Shuffled Matches'!$L$3:$L$107,"Team*")-B9</f>
        <v>16</v>
      </c>
      <c r="D9" s="50">
        <f t="shared" si="0"/>
        <v>38</v>
      </c>
      <c r="E9">
        <f>SUMIFS('Shuffled Matches'!$N$3:$N$107,'Shuffled Matches'!$D$3:$D$107,$A9)+SUMIFS('Shuffled Matches'!$O$3:$O$107,'Shuffled Matches'!$E$3:$E$107,$A9)</f>
        <v>655</v>
      </c>
      <c r="F9">
        <f>SUMIFS('Shuffled Matches'!$O$3:$O$107,'Shuffled Matches'!$D$3:$D$107,$A9)+SUMIFS('Shuffled Matches'!$N$3:$N$107,'Shuffled Matches'!$E$3:$E$107,$A9)</f>
        <v>542</v>
      </c>
      <c r="G9" s="51">
        <f t="shared" si="1"/>
        <v>113</v>
      </c>
      <c r="H9">
        <f t="shared" si="2"/>
        <v>2</v>
      </c>
    </row>
    <row r="10" spans="1:8" x14ac:dyDescent="0.2">
      <c r="A10" t="s">
        <v>50</v>
      </c>
      <c r="B10">
        <f>COUNTIFS('Shuffled Matches'!$L$3:$L$107,$A10)</f>
        <v>10</v>
      </c>
      <c r="C10">
        <f>COUNTIFS('Shuffled Matches'!$D$3:$D$107,$A10,'Shuffled Matches'!$L$3:$L$107,"Team*")+COUNTIFS('Shuffled Matches'!$E$3:$E$107,$A10,'Shuffled Matches'!$L$3:$L$107,"Team*")-B10</f>
        <v>25</v>
      </c>
      <c r="D10" s="50">
        <f t="shared" si="0"/>
        <v>20</v>
      </c>
      <c r="E10">
        <f>SUMIFS('Shuffled Matches'!$N$3:$N$107,'Shuffled Matches'!$D$3:$D$107,$A10)+SUMIFS('Shuffled Matches'!$O$3:$O$107,'Shuffled Matches'!$E$3:$E$107,$A10)</f>
        <v>512</v>
      </c>
      <c r="F10">
        <f>SUMIFS('Shuffled Matches'!$O$3:$O$107,'Shuffled Matches'!$D$3:$D$107,$A10)+SUMIFS('Shuffled Matches'!$N$3:$N$107,'Shuffled Matches'!$E$3:$E$107,$A10)</f>
        <v>635</v>
      </c>
      <c r="G10" s="51">
        <f t="shared" si="1"/>
        <v>-123</v>
      </c>
      <c r="H10">
        <f t="shared" si="2"/>
        <v>6</v>
      </c>
    </row>
    <row r="11" spans="1:8" x14ac:dyDescent="0.2">
      <c r="A11" t="s">
        <v>51</v>
      </c>
      <c r="B11">
        <f>COUNTIFS('Shuffled Matches'!$L$3:$L$107,$A11)</f>
        <v>17</v>
      </c>
      <c r="C11">
        <f>COUNTIFS('Shuffled Matches'!$D$3:$D$107,$A11,'Shuffled Matches'!$L$3:$L$107,"Team*")+COUNTIFS('Shuffled Matches'!$E$3:$E$107,$A11,'Shuffled Matches'!$L$3:$L$107,"Team*")-B11</f>
        <v>16</v>
      </c>
      <c r="D11" s="50">
        <f t="shared" si="0"/>
        <v>34</v>
      </c>
      <c r="E11">
        <f>SUMIFS('Shuffled Matches'!$N$3:$N$107,'Shuffled Matches'!$D$3:$D$107,$A11)+SUMIFS('Shuffled Matches'!$O$3:$O$107,'Shuffled Matches'!$E$3:$E$107,$A11)</f>
        <v>580</v>
      </c>
      <c r="F11">
        <f>SUMIFS('Shuffled Matches'!$O$3:$O$107,'Shuffled Matches'!$D$3:$D$107,$A11)+SUMIFS('Shuffled Matches'!$N$3:$N$107,'Shuffled Matches'!$E$3:$E$107,$A11)</f>
        <v>541</v>
      </c>
      <c r="G11" s="51">
        <f t="shared" si="1"/>
        <v>39</v>
      </c>
      <c r="H11">
        <f t="shared" si="2"/>
        <v>4</v>
      </c>
    </row>
    <row r="14" spans="1:8" x14ac:dyDescent="0.2">
      <c r="A14" s="70" t="s">
        <v>15</v>
      </c>
      <c r="B14" s="70"/>
      <c r="C14" s="70"/>
      <c r="D14" s="70"/>
      <c r="E14" s="70"/>
      <c r="F14" s="70"/>
      <c r="G14" s="70"/>
      <c r="H14" s="70"/>
    </row>
    <row r="15" spans="1:8" x14ac:dyDescent="0.2">
      <c r="A15" s="50" t="s">
        <v>131</v>
      </c>
      <c r="B15" s="50" t="s">
        <v>226</v>
      </c>
      <c r="C15" s="50" t="s">
        <v>233</v>
      </c>
      <c r="D15" s="50" t="s">
        <v>138</v>
      </c>
      <c r="E15" s="50" t="s">
        <v>234</v>
      </c>
      <c r="F15" s="50" t="s">
        <v>235</v>
      </c>
      <c r="G15" s="50" t="s">
        <v>236</v>
      </c>
      <c r="H15" s="50" t="s">
        <v>134</v>
      </c>
    </row>
    <row r="16" spans="1:8" x14ac:dyDescent="0.2">
      <c r="A16" t="s">
        <v>2</v>
      </c>
      <c r="B16">
        <f>COUNTIFS('Shuffled Matches'!$L$3:$L$107,$A16,'Shuffled Matches'!$G$3:$G$107,"Women's Singles")</f>
        <v>2</v>
      </c>
      <c r="C16">
        <f>COUNTIFS('Shuffled Matches'!$D$3:$D$107,$A16,'Shuffled Matches'!$L$3:$L$107,"Team*",'Shuffled Matches'!$G$3:$G$107,"Women's Singles")+COUNTIFS('Shuffled Matches'!$E$3:$E$107,$A16,'Shuffled Matches'!$L$3:$L$107,"Team*",'Shuffled Matches'!$G$3:$G$107,"Women's Singles")-B16</f>
        <v>3</v>
      </c>
      <c r="D16" s="50">
        <f t="shared" ref="D16:D21" si="3">2*B16</f>
        <v>4</v>
      </c>
      <c r="E16">
        <f>SUMIFS('Shuffled Matches'!$N$3:$N$107,'Shuffled Matches'!$D$3:$D$107,$A16,'Shuffled Matches'!$G$3:$G$107,"Women's Singles")+SUMIFS('Shuffled Matches'!$O$3:$O$107,'Shuffled Matches'!$E$3:$E$107,$A16,'Shuffled Matches'!$G$3:$G$107,"Women's Singles")</f>
        <v>75</v>
      </c>
      <c r="F16">
        <f>SUMIFS('Shuffled Matches'!$O$3:$O$107,'Shuffled Matches'!$D$3:$D$107,$A16,'Shuffled Matches'!$G$3:$G$107,"Women's Singles")+SUMIFS('Shuffled Matches'!$N$3:$N$107,'Shuffled Matches'!$E$3:$E$107,$A16,'Shuffled Matches'!$G$3:$G$107,"Women's Singles")</f>
        <v>97</v>
      </c>
      <c r="G16" s="51">
        <f t="shared" ref="G16:G21" si="4">E16-F16</f>
        <v>-22</v>
      </c>
      <c r="H16">
        <f t="shared" ref="H16:H21" si="5">1+COUNTIF($D$16:$D$21,"&gt;"&amp;D16)+COUNTIFS($D$16:$D$21,D16,$G$16:$G$21,"&gt;"&amp;G16)+COUNTIFS($D$16:$D$21,D16,$G$16:$G$21,G16,$A$16:$A$21,"&lt;"&amp;A16)</f>
        <v>5</v>
      </c>
    </row>
    <row r="17" spans="1:8" x14ac:dyDescent="0.2">
      <c r="A17" t="s">
        <v>3</v>
      </c>
      <c r="B17">
        <f>COUNTIFS('Shuffled Matches'!$L$3:$L$107,$A17,'Shuffled Matches'!$G$3:$G$107,"Women's Singles")</f>
        <v>4</v>
      </c>
      <c r="C17">
        <f>COUNTIFS('Shuffled Matches'!$D$3:$D$107,$A17,'Shuffled Matches'!$L$3:$L$107,"Team*",'Shuffled Matches'!$G$3:$G$107,"Women's Singles")+COUNTIFS('Shuffled Matches'!$E$3:$E$107,$A17,'Shuffled Matches'!$L$3:$L$107,"Team*",'Shuffled Matches'!$G$3:$G$107,"Women's Singles")-B17</f>
        <v>1</v>
      </c>
      <c r="D17" s="50">
        <f t="shared" si="3"/>
        <v>8</v>
      </c>
      <c r="E17">
        <f>SUMIFS('Shuffled Matches'!$N$3:$N$107,'Shuffled Matches'!$D$3:$D$107,$A17,'Shuffled Matches'!$G$3:$G$107,"Women's Singles")+SUMIFS('Shuffled Matches'!$O$3:$O$107,'Shuffled Matches'!$E$3:$E$107,$A17,'Shuffled Matches'!$G$3:$G$107,"Women's Singles")</f>
        <v>90</v>
      </c>
      <c r="F17">
        <f>SUMIFS('Shuffled Matches'!$O$3:$O$107,'Shuffled Matches'!$D$3:$D$107,$A17,'Shuffled Matches'!$G$3:$G$107,"Women's Singles")+SUMIFS('Shuffled Matches'!$N$3:$N$107,'Shuffled Matches'!$E$3:$E$107,$A17,'Shuffled Matches'!$G$3:$G$107,"Women's Singles")</f>
        <v>82</v>
      </c>
      <c r="G17" s="51">
        <f t="shared" si="4"/>
        <v>8</v>
      </c>
      <c r="H17">
        <f t="shared" si="5"/>
        <v>2</v>
      </c>
    </row>
    <row r="18" spans="1:8" x14ac:dyDescent="0.2">
      <c r="A18" t="s">
        <v>63</v>
      </c>
      <c r="B18">
        <f>COUNTIFS('Shuffled Matches'!$L$3:$L$107,$A18,'Shuffled Matches'!$G$3:$G$107,"Women's Singles")</f>
        <v>2</v>
      </c>
      <c r="C18">
        <f>COUNTIFS('Shuffled Matches'!$D$3:$D$107,$A18,'Shuffled Matches'!$L$3:$L$107,"Team*",'Shuffled Matches'!$G$3:$G$107,"Women's Singles")+COUNTIFS('Shuffled Matches'!$E$3:$E$107,$A18,'Shuffled Matches'!$L$3:$L$107,"Team*",'Shuffled Matches'!$G$3:$G$107,"Women's Singles")-B18</f>
        <v>3</v>
      </c>
      <c r="D18" s="50">
        <f t="shared" si="3"/>
        <v>4</v>
      </c>
      <c r="E18">
        <f>SUMIFS('Shuffled Matches'!$N$3:$N$107,'Shuffled Matches'!$D$3:$D$107,$A18,'Shuffled Matches'!$G$3:$G$107,"Women's Singles")+SUMIFS('Shuffled Matches'!$O$3:$O$107,'Shuffled Matches'!$E$3:$E$107,$A18,'Shuffled Matches'!$G$3:$G$107,"Women's Singles")</f>
        <v>86</v>
      </c>
      <c r="F18">
        <f>SUMIFS('Shuffled Matches'!$O$3:$O$107,'Shuffled Matches'!$D$3:$D$107,$A18,'Shuffled Matches'!$G$3:$G$107,"Women's Singles")+SUMIFS('Shuffled Matches'!$N$3:$N$107,'Shuffled Matches'!$E$3:$E$107,$A18,'Shuffled Matches'!$G$3:$G$107,"Women's Singles")</f>
        <v>94</v>
      </c>
      <c r="G18" s="51">
        <f t="shared" si="4"/>
        <v>-8</v>
      </c>
      <c r="H18">
        <f t="shared" si="5"/>
        <v>4</v>
      </c>
    </row>
    <row r="19" spans="1:8" x14ac:dyDescent="0.2">
      <c r="A19" t="s">
        <v>59</v>
      </c>
      <c r="B19">
        <f>COUNTIFS('Shuffled Matches'!$L$3:$L$107,$A19,'Shuffled Matches'!$G$3:$G$107,"Women's Singles")</f>
        <v>2</v>
      </c>
      <c r="C19">
        <f>COUNTIFS('Shuffled Matches'!$D$3:$D$107,$A19,'Shuffled Matches'!$L$3:$L$107,"Team*",'Shuffled Matches'!$G$3:$G$107,"Women's Singles")+COUNTIFS('Shuffled Matches'!$E$3:$E$107,$A19,'Shuffled Matches'!$L$3:$L$107,"Team*",'Shuffled Matches'!$G$3:$G$107,"Women's Singles")-B19</f>
        <v>3</v>
      </c>
      <c r="D19" s="50">
        <f t="shared" si="3"/>
        <v>4</v>
      </c>
      <c r="E19">
        <f>SUMIFS('Shuffled Matches'!$N$3:$N$107,'Shuffled Matches'!$D$3:$D$107,$A19,'Shuffled Matches'!$G$3:$G$107,"Women's Singles")+SUMIFS('Shuffled Matches'!$O$3:$O$107,'Shuffled Matches'!$E$3:$E$107,$A19,'Shuffled Matches'!$G$3:$G$107,"Women's Singles")</f>
        <v>97</v>
      </c>
      <c r="F19">
        <f>SUMIFS('Shuffled Matches'!$O$3:$O$107,'Shuffled Matches'!$D$3:$D$107,$A19,'Shuffled Matches'!$G$3:$G$107,"Women's Singles")+SUMIFS('Shuffled Matches'!$N$3:$N$107,'Shuffled Matches'!$E$3:$E$107,$A19,'Shuffled Matches'!$G$3:$G$107,"Women's Singles")</f>
        <v>83</v>
      </c>
      <c r="G19" s="51">
        <f t="shared" si="4"/>
        <v>14</v>
      </c>
      <c r="H19">
        <f t="shared" si="5"/>
        <v>3</v>
      </c>
    </row>
    <row r="20" spans="1:8" x14ac:dyDescent="0.2">
      <c r="A20" t="s">
        <v>50</v>
      </c>
      <c r="B20">
        <f>COUNTIFS('Shuffled Matches'!$L$3:$L$107,$A20,'Shuffled Matches'!$G$3:$G$107,"Women's Singles")</f>
        <v>0</v>
      </c>
      <c r="C20">
        <f>COUNTIFS('Shuffled Matches'!$D$3:$D$107,$A20,'Shuffled Matches'!$L$3:$L$107,"Team*",'Shuffled Matches'!$G$3:$G$107,"Women's Singles")+COUNTIFS('Shuffled Matches'!$E$3:$E$107,$A20,'Shuffled Matches'!$L$3:$L$107,"Team*",'Shuffled Matches'!$G$3:$G$107,"Women's Singles")-B20</f>
        <v>5</v>
      </c>
      <c r="D20" s="50">
        <f t="shared" si="3"/>
        <v>0</v>
      </c>
      <c r="E20">
        <f>SUMIFS('Shuffled Matches'!$N$3:$N$107,'Shuffled Matches'!$D$3:$D$107,$A20,'Shuffled Matches'!$G$3:$G$107,"Women's Singles")+SUMIFS('Shuffled Matches'!$O$3:$O$107,'Shuffled Matches'!$E$3:$E$107,$A20,'Shuffled Matches'!$G$3:$G$107,"Women's Singles")</f>
        <v>62</v>
      </c>
      <c r="F20">
        <f>SUMIFS('Shuffled Matches'!$O$3:$O$107,'Shuffled Matches'!$D$3:$D$107,$A20,'Shuffled Matches'!$G$3:$G$107,"Women's Singles")+SUMIFS('Shuffled Matches'!$N$3:$N$107,'Shuffled Matches'!$E$3:$E$107,$A20,'Shuffled Matches'!$G$3:$G$107,"Women's Singles")</f>
        <v>105</v>
      </c>
      <c r="G20" s="51">
        <f t="shared" si="4"/>
        <v>-43</v>
      </c>
      <c r="H20">
        <f t="shared" si="5"/>
        <v>6</v>
      </c>
    </row>
    <row r="21" spans="1:8" x14ac:dyDescent="0.2">
      <c r="A21" t="s">
        <v>51</v>
      </c>
      <c r="B21">
        <f>COUNTIFS('Shuffled Matches'!$L$3:$L$107,$A21,'Shuffled Matches'!$G$3:$G$107,"Women's Singles")</f>
        <v>5</v>
      </c>
      <c r="C21">
        <f>COUNTIFS('Shuffled Matches'!$D$3:$D$107,$A21,'Shuffled Matches'!$L$3:$L$107,"Team*",'Shuffled Matches'!$G$3:$G$107,"Women's Singles")+COUNTIFS('Shuffled Matches'!$E$3:$E$107,$A21,'Shuffled Matches'!$L$3:$L$107,"Team*",'Shuffled Matches'!$G$3:$G$107,"Women's Singles")-B21</f>
        <v>0</v>
      </c>
      <c r="D21" s="50">
        <f t="shared" si="3"/>
        <v>10</v>
      </c>
      <c r="E21">
        <f>SUMIFS('Shuffled Matches'!$N$3:$N$107,'Shuffled Matches'!$D$3:$D$107,$A21,'Shuffled Matches'!$G$3:$G$107,"Women's Singles")+SUMIFS('Shuffled Matches'!$O$3:$O$107,'Shuffled Matches'!$E$3:$E$107,$A21,'Shuffled Matches'!$G$3:$G$107,"Women's Singles")</f>
        <v>105</v>
      </c>
      <c r="F21">
        <f>SUMIFS('Shuffled Matches'!$O$3:$O$107,'Shuffled Matches'!$D$3:$D$107,$A21,'Shuffled Matches'!$G$3:$G$107,"Women's Singles")+SUMIFS('Shuffled Matches'!$N$3:$N$107,'Shuffled Matches'!$E$3:$E$107,$A21,'Shuffled Matches'!$G$3:$G$107,"Women's Singles")</f>
        <v>54</v>
      </c>
      <c r="G21" s="51">
        <f t="shared" si="4"/>
        <v>51</v>
      </c>
      <c r="H21">
        <f t="shared" si="5"/>
        <v>1</v>
      </c>
    </row>
    <row r="24" spans="1:8" x14ac:dyDescent="0.2">
      <c r="A24" s="70" t="s">
        <v>16</v>
      </c>
      <c r="B24" s="70"/>
      <c r="C24" s="70"/>
      <c r="D24" s="70"/>
      <c r="E24" s="70"/>
      <c r="F24" s="70"/>
      <c r="G24" s="70"/>
      <c r="H24" s="70"/>
    </row>
    <row r="25" spans="1:8" x14ac:dyDescent="0.2">
      <c r="A25" s="50" t="s">
        <v>131</v>
      </c>
      <c r="B25" s="50" t="s">
        <v>226</v>
      </c>
      <c r="C25" s="50" t="s">
        <v>233</v>
      </c>
      <c r="D25" s="50" t="s">
        <v>138</v>
      </c>
      <c r="E25" s="50" t="s">
        <v>234</v>
      </c>
      <c r="F25" s="50" t="s">
        <v>235</v>
      </c>
      <c r="G25" s="50" t="s">
        <v>236</v>
      </c>
      <c r="H25" s="50" t="s">
        <v>134</v>
      </c>
    </row>
    <row r="26" spans="1:8" x14ac:dyDescent="0.2">
      <c r="A26" t="s">
        <v>2</v>
      </c>
      <c r="B26">
        <f>COUNTIFS('Shuffled Matches'!$L$3:$L$107,$A26,'Shuffled Matches'!$G$3:$G$107,"Women's Doubles")</f>
        <v>5</v>
      </c>
      <c r="C26">
        <f>COUNTIFS('Shuffled Matches'!$D$3:$D$107,$A26,'Shuffled Matches'!$L$3:$L$107,"Team*",'Shuffled Matches'!$G$3:$G$107,"Women's Doubles")+COUNTIFS('Shuffled Matches'!$E$3:$E$107,$A26,'Shuffled Matches'!$L$3:$L$107,"Team*",'Shuffled Matches'!$G$3:$G$107,"Women's Doubles")-B26</f>
        <v>0</v>
      </c>
      <c r="D26" s="50">
        <f t="shared" ref="D26:D31" si="6">2*B26</f>
        <v>10</v>
      </c>
      <c r="E26">
        <f>SUMIFS('Shuffled Matches'!$N$3:$N$107,'Shuffled Matches'!$D$3:$D$107,$A26,'Shuffled Matches'!$G$3:$G$107,"Women's Doubles")+SUMIFS('Shuffled Matches'!$O$3:$O$107,'Shuffled Matches'!$E$3:$E$107,$A26,'Shuffled Matches'!$G$3:$G$107,"Women's Doubles")</f>
        <v>105</v>
      </c>
      <c r="F26">
        <f>SUMIFS('Shuffled Matches'!$O$3:$O$107,'Shuffled Matches'!$D$3:$D$107,$A26,'Shuffled Matches'!$G$3:$G$107,"Women's Doubles")+SUMIFS('Shuffled Matches'!$N$3:$N$107,'Shuffled Matches'!$E$3:$E$107,$A26,'Shuffled Matches'!$G$3:$G$107,"Women's Doubles")</f>
        <v>76</v>
      </c>
      <c r="G26" s="51">
        <f t="shared" ref="G26:G31" si="7">E26-F26</f>
        <v>29</v>
      </c>
      <c r="H26">
        <f t="shared" ref="H26:H31" si="8">1+COUNTIF($D$26:$D$31,"&gt;"&amp;D26)+COUNTIFS($D$26:$D$31,D26,$G$26:$G$31,"&gt;"&amp;G26)+COUNTIFS($D$26:$D$31,D26,$G$26:$G$31,G26,$A$26:$A$31,"&lt;"&amp;A26)</f>
        <v>1</v>
      </c>
    </row>
    <row r="27" spans="1:8" x14ac:dyDescent="0.2">
      <c r="A27" t="s">
        <v>3</v>
      </c>
      <c r="B27">
        <f>COUNTIFS('Shuffled Matches'!$L$3:$L$107,$A27,'Shuffled Matches'!$G$3:$G$107,"Women's Doubles")</f>
        <v>3</v>
      </c>
      <c r="C27">
        <f>COUNTIFS('Shuffled Matches'!$D$3:$D$107,$A27,'Shuffled Matches'!$L$3:$L$107,"Team*",'Shuffled Matches'!$G$3:$G$107,"Women's Doubles")+COUNTIFS('Shuffled Matches'!$E$3:$E$107,$A27,'Shuffled Matches'!$L$3:$L$107,"Team*",'Shuffled Matches'!$G$3:$G$107,"Women's Doubles")-B27</f>
        <v>1</v>
      </c>
      <c r="D27" s="50">
        <f t="shared" si="6"/>
        <v>6</v>
      </c>
      <c r="E27">
        <f>SUMIFS('Shuffled Matches'!$N$3:$N$107,'Shuffled Matches'!$D$3:$D$107,$A27,'Shuffled Matches'!$G$3:$G$107,"Women's Doubles")+SUMIFS('Shuffled Matches'!$O$3:$O$107,'Shuffled Matches'!$E$3:$E$107,$A27,'Shuffled Matches'!$G$3:$G$107,"Women's Doubles")</f>
        <v>81</v>
      </c>
      <c r="F27">
        <f>SUMIFS('Shuffled Matches'!$O$3:$O$107,'Shuffled Matches'!$D$3:$D$107,$A27,'Shuffled Matches'!$G$3:$G$107,"Women's Doubles")+SUMIFS('Shuffled Matches'!$N$3:$N$107,'Shuffled Matches'!$E$3:$E$107,$A27,'Shuffled Matches'!$G$3:$G$107,"Women's Doubles")</f>
        <v>65</v>
      </c>
      <c r="G27" s="51">
        <f t="shared" si="7"/>
        <v>16</v>
      </c>
      <c r="H27">
        <f t="shared" si="8"/>
        <v>3</v>
      </c>
    </row>
    <row r="28" spans="1:8" x14ac:dyDescent="0.2">
      <c r="A28" t="s">
        <v>63</v>
      </c>
      <c r="B28">
        <f>COUNTIFS('Shuffled Matches'!$L$3:$L$107,$A28,'Shuffled Matches'!$G$3:$G$107,"Women's Doubles")</f>
        <v>1</v>
      </c>
      <c r="C28">
        <f>COUNTIFS('Shuffled Matches'!$D$3:$D$107,$A28,'Shuffled Matches'!$L$3:$L$107,"Team*",'Shuffled Matches'!$G$3:$G$107,"Women's Doubles")+COUNTIFS('Shuffled Matches'!$E$3:$E$107,$A28,'Shuffled Matches'!$L$3:$L$107,"Team*",'Shuffled Matches'!$G$3:$G$107,"Women's Doubles")-B28</f>
        <v>4</v>
      </c>
      <c r="D28" s="50">
        <f t="shared" si="6"/>
        <v>2</v>
      </c>
      <c r="E28">
        <f>SUMIFS('Shuffled Matches'!$N$3:$N$107,'Shuffled Matches'!$D$3:$D$107,$A28,'Shuffled Matches'!$G$3:$G$107,"Women's Doubles")+SUMIFS('Shuffled Matches'!$O$3:$O$107,'Shuffled Matches'!$E$3:$E$107,$A28,'Shuffled Matches'!$G$3:$G$107,"Women's Doubles")</f>
        <v>75</v>
      </c>
      <c r="F28">
        <f>SUMIFS('Shuffled Matches'!$O$3:$O$107,'Shuffled Matches'!$D$3:$D$107,$A28,'Shuffled Matches'!$G$3:$G$107,"Women's Doubles")+SUMIFS('Shuffled Matches'!$N$3:$N$107,'Shuffled Matches'!$E$3:$E$107,$A28,'Shuffled Matches'!$G$3:$G$107,"Women's Doubles")</f>
        <v>99</v>
      </c>
      <c r="G28" s="51">
        <f t="shared" si="7"/>
        <v>-24</v>
      </c>
      <c r="H28">
        <f t="shared" si="8"/>
        <v>5</v>
      </c>
    </row>
    <row r="29" spans="1:8" x14ac:dyDescent="0.2">
      <c r="A29" t="s">
        <v>59</v>
      </c>
      <c r="B29">
        <f>COUNTIFS('Shuffled Matches'!$L$3:$L$107,$A29,'Shuffled Matches'!$G$3:$G$107,"Women's Doubles")</f>
        <v>3</v>
      </c>
      <c r="C29">
        <f>COUNTIFS('Shuffled Matches'!$D$3:$D$107,$A29,'Shuffled Matches'!$L$3:$L$107,"Team*",'Shuffled Matches'!$G$3:$G$107,"Women's Doubles")+COUNTIFS('Shuffled Matches'!$E$3:$E$107,$A29,'Shuffled Matches'!$L$3:$L$107,"Team*",'Shuffled Matches'!$G$3:$G$107,"Women's Doubles")-B29</f>
        <v>2</v>
      </c>
      <c r="D29" s="50">
        <f t="shared" si="6"/>
        <v>6</v>
      </c>
      <c r="E29">
        <f>SUMIFS('Shuffled Matches'!$N$3:$N$107,'Shuffled Matches'!$D$3:$D$107,$A29,'Shuffled Matches'!$G$3:$G$107,"Women's Doubles")+SUMIFS('Shuffled Matches'!$O$3:$O$107,'Shuffled Matches'!$E$3:$E$107,$A29,'Shuffled Matches'!$G$3:$G$107,"Women's Doubles")</f>
        <v>96</v>
      </c>
      <c r="F29">
        <f>SUMIFS('Shuffled Matches'!$O$3:$O$107,'Shuffled Matches'!$D$3:$D$107,$A29,'Shuffled Matches'!$G$3:$G$107,"Women's Doubles")+SUMIFS('Shuffled Matches'!$N$3:$N$107,'Shuffled Matches'!$E$3:$E$107,$A29,'Shuffled Matches'!$G$3:$G$107,"Women's Doubles")</f>
        <v>78</v>
      </c>
      <c r="G29" s="51">
        <f t="shared" si="7"/>
        <v>18</v>
      </c>
      <c r="H29">
        <f t="shared" si="8"/>
        <v>2</v>
      </c>
    </row>
    <row r="30" spans="1:8" x14ac:dyDescent="0.2">
      <c r="A30" t="s">
        <v>50</v>
      </c>
      <c r="B30">
        <f>COUNTIFS('Shuffled Matches'!$L$3:$L$107,$A30,'Shuffled Matches'!$G$3:$G$107,"Women's Doubles")</f>
        <v>0</v>
      </c>
      <c r="C30">
        <f>COUNTIFS('Shuffled Matches'!$D$3:$D$107,$A30,'Shuffled Matches'!$L$3:$L$107,"Team*",'Shuffled Matches'!$G$3:$G$107,"Women's Doubles")+COUNTIFS('Shuffled Matches'!$E$3:$E$107,$A30,'Shuffled Matches'!$L$3:$L$107,"Team*",'Shuffled Matches'!$G$3:$G$107,"Women's Doubles")-B30</f>
        <v>5</v>
      </c>
      <c r="D30" s="50">
        <f t="shared" si="6"/>
        <v>0</v>
      </c>
      <c r="E30">
        <f>SUMIFS('Shuffled Matches'!$N$3:$N$107,'Shuffled Matches'!$D$3:$D$107,$A30,'Shuffled Matches'!$G$3:$G$107,"Women's Doubles")+SUMIFS('Shuffled Matches'!$O$3:$O$107,'Shuffled Matches'!$E$3:$E$107,$A30,'Shuffled Matches'!$G$3:$G$107,"Women's Doubles")</f>
        <v>62</v>
      </c>
      <c r="F30">
        <f>SUMIFS('Shuffled Matches'!$O$3:$O$107,'Shuffled Matches'!$D$3:$D$107,$A30,'Shuffled Matches'!$G$3:$G$107,"Women's Doubles")+SUMIFS('Shuffled Matches'!$N$3:$N$107,'Shuffled Matches'!$E$3:$E$107,$A30,'Shuffled Matches'!$G$3:$G$107,"Women's Doubles")</f>
        <v>105</v>
      </c>
      <c r="G30" s="51">
        <f t="shared" si="7"/>
        <v>-43</v>
      </c>
      <c r="H30">
        <f t="shared" si="8"/>
        <v>6</v>
      </c>
    </row>
    <row r="31" spans="1:8" x14ac:dyDescent="0.2">
      <c r="A31" t="s">
        <v>51</v>
      </c>
      <c r="B31">
        <f>COUNTIFS('Shuffled Matches'!$L$3:$L$107,$A31,'Shuffled Matches'!$G$3:$G$107,"Women's Doubles")</f>
        <v>2</v>
      </c>
      <c r="C31">
        <f>COUNTIFS('Shuffled Matches'!$D$3:$D$107,$A31,'Shuffled Matches'!$L$3:$L$107,"Team*",'Shuffled Matches'!$G$3:$G$107,"Women's Doubles")+COUNTIFS('Shuffled Matches'!$E$3:$E$107,$A31,'Shuffled Matches'!$L$3:$L$107,"Team*",'Shuffled Matches'!$G$3:$G$107,"Women's Doubles")-B31</f>
        <v>2</v>
      </c>
      <c r="D31" s="50">
        <f t="shared" si="6"/>
        <v>4</v>
      </c>
      <c r="E31">
        <f>SUMIFS('Shuffled Matches'!$N$3:$N$107,'Shuffled Matches'!$D$3:$D$107,$A31,'Shuffled Matches'!$G$3:$G$107,"Women's Doubles")+SUMIFS('Shuffled Matches'!$O$3:$O$107,'Shuffled Matches'!$E$3:$E$107,$A31,'Shuffled Matches'!$G$3:$G$107,"Women's Doubles")</f>
        <v>71</v>
      </c>
      <c r="F31">
        <f>SUMIFS('Shuffled Matches'!$O$3:$O$107,'Shuffled Matches'!$D$3:$D$107,$A31,'Shuffled Matches'!$G$3:$G$107,"Women's Doubles")+SUMIFS('Shuffled Matches'!$N$3:$N$107,'Shuffled Matches'!$E$3:$E$107,$A31,'Shuffled Matches'!$G$3:$G$107,"Women's Doubles")</f>
        <v>67</v>
      </c>
      <c r="G31" s="51">
        <f t="shared" si="7"/>
        <v>4</v>
      </c>
      <c r="H31">
        <f t="shared" si="8"/>
        <v>4</v>
      </c>
    </row>
    <row r="34" spans="1:8" x14ac:dyDescent="0.2">
      <c r="A34" s="70" t="s">
        <v>17</v>
      </c>
      <c r="B34" s="70"/>
      <c r="C34" s="70"/>
      <c r="D34" s="70"/>
      <c r="E34" s="70"/>
      <c r="F34" s="70"/>
      <c r="G34" s="70"/>
      <c r="H34" s="70"/>
    </row>
    <row r="35" spans="1:8" x14ac:dyDescent="0.2">
      <c r="A35" s="50" t="s">
        <v>131</v>
      </c>
      <c r="B35" s="50" t="s">
        <v>226</v>
      </c>
      <c r="C35" s="50" t="s">
        <v>233</v>
      </c>
      <c r="D35" s="50" t="s">
        <v>138</v>
      </c>
      <c r="E35" s="50" t="s">
        <v>234</v>
      </c>
      <c r="F35" s="50" t="s">
        <v>235</v>
      </c>
      <c r="G35" s="50" t="s">
        <v>236</v>
      </c>
      <c r="H35" s="50" t="s">
        <v>134</v>
      </c>
    </row>
    <row r="36" spans="1:8" x14ac:dyDescent="0.2">
      <c r="A36" t="s">
        <v>2</v>
      </c>
      <c r="B36">
        <f>COUNTIFS('Shuffled Matches'!$L$3:$L$107,$A36,'Shuffled Matches'!$G$3:$G$107,"Mixed Doubles")</f>
        <v>2</v>
      </c>
      <c r="C36">
        <f>COUNTIFS('Shuffled Matches'!$D$3:$D$107,$A36,'Shuffled Matches'!$L$3:$L$107,"Team*",'Shuffled Matches'!$G$3:$G$107,"Mixed Doubles")+COUNTIFS('Shuffled Matches'!$E$3:$E$107,$A36,'Shuffled Matches'!$L$3:$L$107,"Team*",'Shuffled Matches'!$G$3:$G$107,"Mixed Doubles")-B36</f>
        <v>3</v>
      </c>
      <c r="D36" s="50">
        <f t="shared" ref="D36:D41" si="9">2*B36</f>
        <v>4</v>
      </c>
      <c r="E36">
        <f>SUMIFS('Shuffled Matches'!$N$3:$N$107,'Shuffled Matches'!$D$3:$D$107,$A36,'Shuffled Matches'!$G$3:$G$107,"Mixed Doubles")+SUMIFS('Shuffled Matches'!$O$3:$O$107,'Shuffled Matches'!$E$3:$E$107,$A36,'Shuffled Matches'!$G$3:$G$107,"Mixed Doubles")</f>
        <v>86</v>
      </c>
      <c r="F36">
        <f>SUMIFS('Shuffled Matches'!$O$3:$O$107,'Shuffled Matches'!$D$3:$D$107,$A36,'Shuffled Matches'!$G$3:$G$107,"Mixed Doubles")+SUMIFS('Shuffled Matches'!$N$3:$N$107,'Shuffled Matches'!$E$3:$E$107,$A36,'Shuffled Matches'!$G$3:$G$107,"Mixed Doubles")</f>
        <v>87</v>
      </c>
      <c r="G36" s="51">
        <f t="shared" ref="G36:G41" si="10">E36-F36</f>
        <v>-1</v>
      </c>
      <c r="H36">
        <f t="shared" ref="H36:H41" si="11">1+COUNTIF($D$36:$D$41,"&gt;"&amp;D36)+COUNTIFS($D$36:$D$41,D36,$G$36:$G$41,"&gt;"&amp;G36)+COUNTIFS($D$36:$D$41,D36,$G$36:$G$41,G36,$A$36:$A$41,"&lt;"&amp;A36)</f>
        <v>3</v>
      </c>
    </row>
    <row r="37" spans="1:8" x14ac:dyDescent="0.2">
      <c r="A37" t="s">
        <v>3</v>
      </c>
      <c r="B37">
        <f>COUNTIFS('Shuffled Matches'!$L$3:$L$107,$A37,'Shuffled Matches'!$G$3:$G$107,"Mixed Doubles")</f>
        <v>4</v>
      </c>
      <c r="C37">
        <f>COUNTIFS('Shuffled Matches'!$D$3:$D$107,$A37,'Shuffled Matches'!$L$3:$L$107,"Team*",'Shuffled Matches'!$G$3:$G$107,"Mixed Doubles")+COUNTIFS('Shuffled Matches'!$E$3:$E$107,$A37,'Shuffled Matches'!$L$3:$L$107,"Team*",'Shuffled Matches'!$G$3:$G$107,"Mixed Doubles")-B37</f>
        <v>1</v>
      </c>
      <c r="D37" s="50">
        <f t="shared" si="9"/>
        <v>8</v>
      </c>
      <c r="E37">
        <f>SUMIFS('Shuffled Matches'!$N$3:$N$107,'Shuffled Matches'!$D$3:$D$107,$A37,'Shuffled Matches'!$G$3:$G$107,"Mixed Doubles")+SUMIFS('Shuffled Matches'!$O$3:$O$107,'Shuffled Matches'!$E$3:$E$107,$A37,'Shuffled Matches'!$G$3:$G$107,"Mixed Doubles")</f>
        <v>100</v>
      </c>
      <c r="F37">
        <f>SUMIFS('Shuffled Matches'!$O$3:$O$107,'Shuffled Matches'!$D$3:$D$107,$A37,'Shuffled Matches'!$G$3:$G$107,"Mixed Doubles")+SUMIFS('Shuffled Matches'!$N$3:$N$107,'Shuffled Matches'!$E$3:$E$107,$A37,'Shuffled Matches'!$G$3:$G$107,"Mixed Doubles")</f>
        <v>71</v>
      </c>
      <c r="G37" s="51">
        <f t="shared" si="10"/>
        <v>29</v>
      </c>
      <c r="H37">
        <f t="shared" si="11"/>
        <v>2</v>
      </c>
    </row>
    <row r="38" spans="1:8" x14ac:dyDescent="0.2">
      <c r="A38" t="s">
        <v>63</v>
      </c>
      <c r="B38">
        <f>COUNTIFS('Shuffled Matches'!$L$3:$L$107,$A38,'Shuffled Matches'!$G$3:$G$107,"Mixed Doubles")</f>
        <v>5</v>
      </c>
      <c r="C38">
        <f>COUNTIFS('Shuffled Matches'!$D$3:$D$107,$A38,'Shuffled Matches'!$L$3:$L$107,"Team*",'Shuffled Matches'!$G$3:$G$107,"Mixed Doubles")+COUNTIFS('Shuffled Matches'!$E$3:$E$107,$A38,'Shuffled Matches'!$L$3:$L$107,"Team*",'Shuffled Matches'!$G$3:$G$107,"Mixed Doubles")-B38</f>
        <v>0</v>
      </c>
      <c r="D38" s="50">
        <f t="shared" si="9"/>
        <v>10</v>
      </c>
      <c r="E38">
        <f>SUMIFS('Shuffled Matches'!$N$3:$N$107,'Shuffled Matches'!$D$3:$D$107,$A38,'Shuffled Matches'!$G$3:$G$107,"Mixed Doubles")+SUMIFS('Shuffled Matches'!$O$3:$O$107,'Shuffled Matches'!$E$3:$E$107,$A38,'Shuffled Matches'!$G$3:$G$107,"Mixed Doubles")</f>
        <v>105</v>
      </c>
      <c r="F38">
        <f>SUMIFS('Shuffled Matches'!$O$3:$O$107,'Shuffled Matches'!$D$3:$D$107,$A38,'Shuffled Matches'!$G$3:$G$107,"Mixed Doubles")+SUMIFS('Shuffled Matches'!$N$3:$N$107,'Shuffled Matches'!$E$3:$E$107,$A38,'Shuffled Matches'!$G$3:$G$107,"Mixed Doubles")</f>
        <v>75</v>
      </c>
      <c r="G38" s="51">
        <f t="shared" si="10"/>
        <v>30</v>
      </c>
      <c r="H38">
        <f t="shared" si="11"/>
        <v>1</v>
      </c>
    </row>
    <row r="39" spans="1:8" x14ac:dyDescent="0.2">
      <c r="A39" t="s">
        <v>59</v>
      </c>
      <c r="B39">
        <f>COUNTIFS('Shuffled Matches'!$L$3:$L$107,$A39,'Shuffled Matches'!$G$3:$G$107,"Mixed Doubles")</f>
        <v>2</v>
      </c>
      <c r="C39">
        <f>COUNTIFS('Shuffled Matches'!$D$3:$D$107,$A39,'Shuffled Matches'!$L$3:$L$107,"Team*",'Shuffled Matches'!$G$3:$G$107,"Mixed Doubles")+COUNTIFS('Shuffled Matches'!$E$3:$E$107,$A39,'Shuffled Matches'!$L$3:$L$107,"Team*",'Shuffled Matches'!$G$3:$G$107,"Mixed Doubles")-B39</f>
        <v>3</v>
      </c>
      <c r="D39" s="50">
        <f t="shared" si="9"/>
        <v>4</v>
      </c>
      <c r="E39">
        <f>SUMIFS('Shuffled Matches'!$N$3:$N$107,'Shuffled Matches'!$D$3:$D$107,$A39,'Shuffled Matches'!$G$3:$G$107,"Mixed Doubles")+SUMIFS('Shuffled Matches'!$O$3:$O$107,'Shuffled Matches'!$E$3:$E$107,$A39,'Shuffled Matches'!$G$3:$G$107,"Mixed Doubles")</f>
        <v>90</v>
      </c>
      <c r="F39">
        <f>SUMIFS('Shuffled Matches'!$O$3:$O$107,'Shuffled Matches'!$D$3:$D$107,$A39,'Shuffled Matches'!$G$3:$G$107,"Mixed Doubles")+SUMIFS('Shuffled Matches'!$N$3:$N$107,'Shuffled Matches'!$E$3:$E$107,$A39,'Shuffled Matches'!$G$3:$G$107,"Mixed Doubles")</f>
        <v>94</v>
      </c>
      <c r="G39" s="51">
        <f t="shared" si="10"/>
        <v>-4</v>
      </c>
      <c r="H39">
        <f t="shared" si="11"/>
        <v>4</v>
      </c>
    </row>
    <row r="40" spans="1:8" x14ac:dyDescent="0.2">
      <c r="A40" t="s">
        <v>50</v>
      </c>
      <c r="B40">
        <f>COUNTIFS('Shuffled Matches'!$L$3:$L$107,$A40,'Shuffled Matches'!$G$3:$G$107,"Mixed Doubles")</f>
        <v>2</v>
      </c>
      <c r="C40">
        <f>COUNTIFS('Shuffled Matches'!$D$3:$D$107,$A40,'Shuffled Matches'!$L$3:$L$107,"Team*",'Shuffled Matches'!$G$3:$G$107,"Mixed Doubles")+COUNTIFS('Shuffled Matches'!$E$3:$E$107,$A40,'Shuffled Matches'!$L$3:$L$107,"Team*",'Shuffled Matches'!$G$3:$G$107,"Mixed Doubles")-B40</f>
        <v>3</v>
      </c>
      <c r="D40" s="50">
        <f t="shared" si="9"/>
        <v>4</v>
      </c>
      <c r="E40">
        <f>SUMIFS('Shuffled Matches'!$N$3:$N$107,'Shuffled Matches'!$D$3:$D$107,$A40,'Shuffled Matches'!$G$3:$G$107,"Mixed Doubles")+SUMIFS('Shuffled Matches'!$O$3:$O$107,'Shuffled Matches'!$E$3:$E$107,$A40,'Shuffled Matches'!$G$3:$G$107,"Mixed Doubles")</f>
        <v>84</v>
      </c>
      <c r="F40">
        <f>SUMIFS('Shuffled Matches'!$O$3:$O$107,'Shuffled Matches'!$D$3:$D$107,$A40,'Shuffled Matches'!$G$3:$G$107,"Mixed Doubles")+SUMIFS('Shuffled Matches'!$N$3:$N$107,'Shuffled Matches'!$E$3:$E$107,$A40,'Shuffled Matches'!$G$3:$G$107,"Mixed Doubles")</f>
        <v>94</v>
      </c>
      <c r="G40" s="51">
        <f t="shared" si="10"/>
        <v>-10</v>
      </c>
      <c r="H40">
        <f t="shared" si="11"/>
        <v>5</v>
      </c>
    </row>
    <row r="41" spans="1:8" x14ac:dyDescent="0.2">
      <c r="A41" t="s">
        <v>51</v>
      </c>
      <c r="B41">
        <f>COUNTIFS('Shuffled Matches'!$L$3:$L$107,$A41,'Shuffled Matches'!$G$3:$G$107,"Mixed Doubles")</f>
        <v>0</v>
      </c>
      <c r="C41">
        <f>COUNTIFS('Shuffled Matches'!$D$3:$D$107,$A41,'Shuffled Matches'!$L$3:$L$107,"Team*",'Shuffled Matches'!$G$3:$G$107,"Mixed Doubles")+COUNTIFS('Shuffled Matches'!$E$3:$E$107,$A41,'Shuffled Matches'!$L$3:$L$107,"Team*",'Shuffled Matches'!$G$3:$G$107,"Mixed Doubles")-B41</f>
        <v>5</v>
      </c>
      <c r="D41" s="50">
        <f t="shared" si="9"/>
        <v>0</v>
      </c>
      <c r="E41">
        <f>SUMIFS('Shuffled Matches'!$N$3:$N$107,'Shuffled Matches'!$D$3:$D$107,$A41,'Shuffled Matches'!$G$3:$G$107,"Mixed Doubles")+SUMIFS('Shuffled Matches'!$O$3:$O$107,'Shuffled Matches'!$E$3:$E$107,$A41,'Shuffled Matches'!$G$3:$G$107,"Mixed Doubles")</f>
        <v>61</v>
      </c>
      <c r="F41">
        <f>SUMIFS('Shuffled Matches'!$O$3:$O$107,'Shuffled Matches'!$D$3:$D$107,$A41,'Shuffled Matches'!$G$3:$G$107,"Mixed Doubles")+SUMIFS('Shuffled Matches'!$N$3:$N$107,'Shuffled Matches'!$E$3:$E$107,$A41,'Shuffled Matches'!$G$3:$G$107,"Mixed Doubles")</f>
        <v>105</v>
      </c>
      <c r="G41" s="51">
        <f t="shared" si="10"/>
        <v>-44</v>
      </c>
      <c r="H41">
        <f t="shared" si="11"/>
        <v>6</v>
      </c>
    </row>
    <row r="44" spans="1:8" x14ac:dyDescent="0.2">
      <c r="A44" s="70" t="s">
        <v>18</v>
      </c>
      <c r="B44" s="70"/>
      <c r="C44" s="70"/>
      <c r="D44" s="70"/>
      <c r="E44" s="70"/>
      <c r="F44" s="70"/>
      <c r="G44" s="70"/>
      <c r="H44" s="70"/>
    </row>
    <row r="45" spans="1:8" x14ac:dyDescent="0.2">
      <c r="A45" s="50" t="s">
        <v>131</v>
      </c>
      <c r="B45" s="50" t="s">
        <v>226</v>
      </c>
      <c r="C45" s="50" t="s">
        <v>233</v>
      </c>
      <c r="D45" s="50" t="s">
        <v>138</v>
      </c>
      <c r="E45" s="50" t="s">
        <v>234</v>
      </c>
      <c r="F45" s="50" t="s">
        <v>235</v>
      </c>
      <c r="G45" s="50" t="s">
        <v>236</v>
      </c>
      <c r="H45" s="50" t="s">
        <v>134</v>
      </c>
    </row>
    <row r="46" spans="1:8" x14ac:dyDescent="0.2">
      <c r="A46" t="s">
        <v>2</v>
      </c>
      <c r="B46">
        <f>COUNTIFS('Shuffled Matches'!$L$3:$L$107,$A46,'Shuffled Matches'!$G$3:$G$107,"Men's Singles 1")</f>
        <v>3</v>
      </c>
      <c r="C46">
        <f>COUNTIFS('Shuffled Matches'!$D$3:$D$107,$A46,'Shuffled Matches'!$L$3:$L$107,"Team*",'Shuffled Matches'!$G$3:$G$107,"Men's Singles 1")+COUNTIFS('Shuffled Matches'!$E$3:$E$107,$A46,'Shuffled Matches'!$L$3:$L$107,"Team*",'Shuffled Matches'!$G$3:$G$107,"Men's Singles 1")-B46</f>
        <v>2</v>
      </c>
      <c r="D46" s="50">
        <f t="shared" ref="D46:D51" si="12">2*B46</f>
        <v>6</v>
      </c>
      <c r="E46">
        <f>SUMIFS('Shuffled Matches'!$N$3:$N$107,'Shuffled Matches'!$D$3:$D$107,$A46,'Shuffled Matches'!$G$3:$G$107,"Men's Singles 1")+SUMIFS('Shuffled Matches'!$O$3:$O$107,'Shuffled Matches'!$E$3:$E$107,$A46,'Shuffled Matches'!$G$3:$G$107,"Men's Singles 1")</f>
        <v>89</v>
      </c>
      <c r="F46">
        <f>SUMIFS('Shuffled Matches'!$O$3:$O$107,'Shuffled Matches'!$D$3:$D$107,$A46,'Shuffled Matches'!$G$3:$G$107,"Men's Singles 1")+SUMIFS('Shuffled Matches'!$N$3:$N$107,'Shuffled Matches'!$E$3:$E$107,$A46,'Shuffled Matches'!$G$3:$G$107,"Men's Singles 1")</f>
        <v>86</v>
      </c>
      <c r="G46" s="51">
        <f t="shared" ref="G46:G51" si="13">E46-F46</f>
        <v>3</v>
      </c>
      <c r="H46">
        <f t="shared" ref="H46:H51" si="14">1+COUNTIF($D$46:$D$51,"&gt;"&amp;D46)+COUNTIFS($D$46:$D$51,D46,$G$46:$G$51,"&gt;"&amp;G46)+COUNTIFS($D$46:$D$51,D46,$G$46:$G$51,G46,$A$46:$A$51,"&lt;"&amp;A46)</f>
        <v>3</v>
      </c>
    </row>
    <row r="47" spans="1:8" x14ac:dyDescent="0.2">
      <c r="A47" t="s">
        <v>3</v>
      </c>
      <c r="B47">
        <f>COUNTIFS('Shuffled Matches'!$L$3:$L$107,$A47,'Shuffled Matches'!$G$3:$G$107,"Men's Singles 1")</f>
        <v>0</v>
      </c>
      <c r="C47">
        <f>COUNTIFS('Shuffled Matches'!$D$3:$D$107,$A47,'Shuffled Matches'!$L$3:$L$107,"Team*",'Shuffled Matches'!$G$3:$G$107,"Men's Singles 1")+COUNTIFS('Shuffled Matches'!$E$3:$E$107,$A47,'Shuffled Matches'!$L$3:$L$107,"Team*",'Shuffled Matches'!$G$3:$G$107,"Men's Singles 1")-B47</f>
        <v>5</v>
      </c>
      <c r="D47" s="50">
        <f t="shared" si="12"/>
        <v>0</v>
      </c>
      <c r="E47">
        <f>SUMIFS('Shuffled Matches'!$N$3:$N$107,'Shuffled Matches'!$D$3:$D$107,$A47,'Shuffled Matches'!$G$3:$G$107,"Men's Singles 1")+SUMIFS('Shuffled Matches'!$O$3:$O$107,'Shuffled Matches'!$E$3:$E$107,$A47,'Shuffled Matches'!$G$3:$G$107,"Men's Singles 1")</f>
        <v>37</v>
      </c>
      <c r="F47">
        <f>SUMIFS('Shuffled Matches'!$O$3:$O$107,'Shuffled Matches'!$D$3:$D$107,$A47,'Shuffled Matches'!$G$3:$G$107,"Men's Singles 1")+SUMIFS('Shuffled Matches'!$N$3:$N$107,'Shuffled Matches'!$E$3:$E$107,$A47,'Shuffled Matches'!$G$3:$G$107,"Men's Singles 1")</f>
        <v>105</v>
      </c>
      <c r="G47" s="51">
        <f t="shared" si="13"/>
        <v>-68</v>
      </c>
      <c r="H47">
        <f t="shared" si="14"/>
        <v>6</v>
      </c>
    </row>
    <row r="48" spans="1:8" x14ac:dyDescent="0.2">
      <c r="A48" t="s">
        <v>63</v>
      </c>
      <c r="B48">
        <f>COUNTIFS('Shuffled Matches'!$L$3:$L$107,$A48,'Shuffled Matches'!$G$3:$G$107,"Men's Singles 1")</f>
        <v>4</v>
      </c>
      <c r="C48">
        <f>COUNTIFS('Shuffled Matches'!$D$3:$D$107,$A48,'Shuffled Matches'!$L$3:$L$107,"Team*",'Shuffled Matches'!$G$3:$G$107,"Men's Singles 1")+COUNTIFS('Shuffled Matches'!$E$3:$E$107,$A48,'Shuffled Matches'!$L$3:$L$107,"Team*",'Shuffled Matches'!$G$3:$G$107,"Men's Singles 1")-B48</f>
        <v>1</v>
      </c>
      <c r="D48" s="50">
        <f t="shared" si="12"/>
        <v>8</v>
      </c>
      <c r="E48">
        <f>SUMIFS('Shuffled Matches'!$N$3:$N$107,'Shuffled Matches'!$D$3:$D$107,$A48,'Shuffled Matches'!$G$3:$G$107,"Men's Singles 1")+SUMIFS('Shuffled Matches'!$O$3:$O$107,'Shuffled Matches'!$E$3:$E$107,$A48,'Shuffled Matches'!$G$3:$G$107,"Men's Singles 1")</f>
        <v>98</v>
      </c>
      <c r="F48">
        <f>SUMIFS('Shuffled Matches'!$O$3:$O$107,'Shuffled Matches'!$D$3:$D$107,$A48,'Shuffled Matches'!$G$3:$G$107,"Men's Singles 1")+SUMIFS('Shuffled Matches'!$N$3:$N$107,'Shuffled Matches'!$E$3:$E$107,$A48,'Shuffled Matches'!$G$3:$G$107,"Men's Singles 1")</f>
        <v>80</v>
      </c>
      <c r="G48" s="51">
        <f t="shared" si="13"/>
        <v>18</v>
      </c>
      <c r="H48">
        <f t="shared" si="14"/>
        <v>2</v>
      </c>
    </row>
    <row r="49" spans="1:8" x14ac:dyDescent="0.2">
      <c r="A49" t="s">
        <v>59</v>
      </c>
      <c r="B49">
        <f>COUNTIFS('Shuffled Matches'!$L$3:$L$107,$A49,'Shuffled Matches'!$G$3:$G$107,"Men's Singles 1")</f>
        <v>2</v>
      </c>
      <c r="C49">
        <f>COUNTIFS('Shuffled Matches'!$D$3:$D$107,$A49,'Shuffled Matches'!$L$3:$L$107,"Team*",'Shuffled Matches'!$G$3:$G$107,"Men's Singles 1")+COUNTIFS('Shuffled Matches'!$E$3:$E$107,$A49,'Shuffled Matches'!$L$3:$L$107,"Team*",'Shuffled Matches'!$G$3:$G$107,"Men's Singles 1")-B49</f>
        <v>3</v>
      </c>
      <c r="D49" s="50">
        <f t="shared" si="12"/>
        <v>4</v>
      </c>
      <c r="E49">
        <f>SUMIFS('Shuffled Matches'!$N$3:$N$107,'Shuffled Matches'!$D$3:$D$107,$A49,'Shuffled Matches'!$G$3:$G$107,"Men's Singles 1")+SUMIFS('Shuffled Matches'!$O$3:$O$107,'Shuffled Matches'!$E$3:$E$107,$A49,'Shuffled Matches'!$G$3:$G$107,"Men's Singles 1")</f>
        <v>83</v>
      </c>
      <c r="F49">
        <f>SUMIFS('Shuffled Matches'!$O$3:$O$107,'Shuffled Matches'!$D$3:$D$107,$A49,'Shuffled Matches'!$G$3:$G$107,"Men's Singles 1")+SUMIFS('Shuffled Matches'!$N$3:$N$107,'Shuffled Matches'!$E$3:$E$107,$A49,'Shuffled Matches'!$G$3:$G$107,"Men's Singles 1")</f>
        <v>81</v>
      </c>
      <c r="G49" s="51">
        <f t="shared" si="13"/>
        <v>2</v>
      </c>
      <c r="H49">
        <f t="shared" si="14"/>
        <v>5</v>
      </c>
    </row>
    <row r="50" spans="1:8" x14ac:dyDescent="0.2">
      <c r="A50" t="s">
        <v>50</v>
      </c>
      <c r="B50">
        <f>COUNTIFS('Shuffled Matches'!$L$3:$L$107,$A50,'Shuffled Matches'!$G$3:$G$107,"Men's Singles 1")</f>
        <v>4</v>
      </c>
      <c r="C50">
        <f>COUNTIFS('Shuffled Matches'!$D$3:$D$107,$A50,'Shuffled Matches'!$L$3:$L$107,"Team*",'Shuffled Matches'!$G$3:$G$107,"Men's Singles 1")+COUNTIFS('Shuffled Matches'!$E$3:$E$107,$A50,'Shuffled Matches'!$L$3:$L$107,"Team*",'Shuffled Matches'!$G$3:$G$107,"Men's Singles 1")-B50</f>
        <v>1</v>
      </c>
      <c r="D50" s="50">
        <f t="shared" si="12"/>
        <v>8</v>
      </c>
      <c r="E50">
        <f>SUMIFS('Shuffled Matches'!$N$3:$N$107,'Shuffled Matches'!$D$3:$D$107,$A50,'Shuffled Matches'!$G$3:$G$107,"Men's Singles 1")+SUMIFS('Shuffled Matches'!$O$3:$O$107,'Shuffled Matches'!$E$3:$E$107,$A50,'Shuffled Matches'!$G$3:$G$107,"Men's Singles 1")</f>
        <v>99</v>
      </c>
      <c r="F50">
        <f>SUMIFS('Shuffled Matches'!$O$3:$O$107,'Shuffled Matches'!$D$3:$D$107,$A50,'Shuffled Matches'!$G$3:$G$107,"Men's Singles 1")+SUMIFS('Shuffled Matches'!$N$3:$N$107,'Shuffled Matches'!$E$3:$E$107,$A50,'Shuffled Matches'!$G$3:$G$107,"Men's Singles 1")</f>
        <v>71</v>
      </c>
      <c r="G50" s="51">
        <f t="shared" si="13"/>
        <v>28</v>
      </c>
      <c r="H50">
        <f t="shared" si="14"/>
        <v>1</v>
      </c>
    </row>
    <row r="51" spans="1:8" x14ac:dyDescent="0.2">
      <c r="A51" t="s">
        <v>51</v>
      </c>
      <c r="B51">
        <f>COUNTIFS('Shuffled Matches'!$L$3:$L$107,$A51,'Shuffled Matches'!$G$3:$G$107,"Men's Singles 1")</f>
        <v>2</v>
      </c>
      <c r="C51">
        <f>COUNTIFS('Shuffled Matches'!$D$3:$D$107,$A51,'Shuffled Matches'!$L$3:$L$107,"Team*",'Shuffled Matches'!$G$3:$G$107,"Men's Singles 1")+COUNTIFS('Shuffled Matches'!$E$3:$E$107,$A51,'Shuffled Matches'!$L$3:$L$107,"Team*",'Shuffled Matches'!$G$3:$G$107,"Men's Singles 1")-B51</f>
        <v>3</v>
      </c>
      <c r="D51" s="50">
        <f t="shared" si="12"/>
        <v>4</v>
      </c>
      <c r="E51">
        <f>SUMIFS('Shuffled Matches'!$N$3:$N$107,'Shuffled Matches'!$D$3:$D$107,$A51,'Shuffled Matches'!$G$3:$G$107,"Men's Singles 1")+SUMIFS('Shuffled Matches'!$O$3:$O$107,'Shuffled Matches'!$E$3:$E$107,$A51,'Shuffled Matches'!$G$3:$G$107,"Men's Singles 1")</f>
        <v>91</v>
      </c>
      <c r="F51">
        <f>SUMIFS('Shuffled Matches'!$O$3:$O$107,'Shuffled Matches'!$D$3:$D$107,$A51,'Shuffled Matches'!$G$3:$G$107,"Men's Singles 1")+SUMIFS('Shuffled Matches'!$N$3:$N$107,'Shuffled Matches'!$E$3:$E$107,$A51,'Shuffled Matches'!$G$3:$G$107,"Men's Singles 1")</f>
        <v>74</v>
      </c>
      <c r="G51" s="51">
        <f t="shared" si="13"/>
        <v>17</v>
      </c>
      <c r="H51">
        <f t="shared" si="14"/>
        <v>4</v>
      </c>
    </row>
    <row r="54" spans="1:8" x14ac:dyDescent="0.2">
      <c r="A54" s="70" t="s">
        <v>19</v>
      </c>
      <c r="B54" s="70"/>
      <c r="C54" s="70"/>
      <c r="D54" s="70"/>
      <c r="E54" s="70"/>
      <c r="F54" s="70"/>
      <c r="G54" s="70"/>
      <c r="H54" s="70"/>
    </row>
    <row r="55" spans="1:8" x14ac:dyDescent="0.2">
      <c r="A55" s="50" t="s">
        <v>131</v>
      </c>
      <c r="B55" s="50" t="s">
        <v>226</v>
      </c>
      <c r="C55" s="50" t="s">
        <v>233</v>
      </c>
      <c r="D55" s="50" t="s">
        <v>138</v>
      </c>
      <c r="E55" s="50" t="s">
        <v>234</v>
      </c>
      <c r="F55" s="50" t="s">
        <v>235</v>
      </c>
      <c r="G55" s="50" t="s">
        <v>236</v>
      </c>
      <c r="H55" s="50" t="s">
        <v>134</v>
      </c>
    </row>
    <row r="56" spans="1:8" x14ac:dyDescent="0.2">
      <c r="A56" t="s">
        <v>2</v>
      </c>
      <c r="B56">
        <f>COUNTIFS('Shuffled Matches'!$L$3:$L$107,$A56,'Shuffled Matches'!$G$3:$G$107,"Men's Singles 2")</f>
        <v>3</v>
      </c>
      <c r="C56">
        <f>COUNTIFS('Shuffled Matches'!$D$3:$D$107,$A56,'Shuffled Matches'!$L$3:$L$107,"Team*",'Shuffled Matches'!$G$3:$G$107,"Men's Singles 2")+COUNTIFS('Shuffled Matches'!$E$3:$E$107,$A56,'Shuffled Matches'!$L$3:$L$107,"Team*",'Shuffled Matches'!$G$3:$G$107,"Men's Singles 2")-B56</f>
        <v>2</v>
      </c>
      <c r="D56" s="50">
        <f t="shared" ref="D56:D61" si="15">2*B56</f>
        <v>6</v>
      </c>
      <c r="E56">
        <f>SUMIFS('Shuffled Matches'!$N$3:$N$107,'Shuffled Matches'!$D$3:$D$107,$A56,'Shuffled Matches'!$G$3:$G$107,"Men's Singles 2")+SUMIFS('Shuffled Matches'!$O$3:$O$107,'Shuffled Matches'!$E$3:$E$107,$A56,'Shuffled Matches'!$G$3:$G$107,"Men's Singles 2")</f>
        <v>84</v>
      </c>
      <c r="F56">
        <f>SUMIFS('Shuffled Matches'!$O$3:$O$107,'Shuffled Matches'!$D$3:$D$107,$A56,'Shuffled Matches'!$G$3:$G$107,"Men's Singles 2")+SUMIFS('Shuffled Matches'!$N$3:$N$107,'Shuffled Matches'!$E$3:$E$107,$A56,'Shuffled Matches'!$G$3:$G$107,"Men's Singles 2")</f>
        <v>85</v>
      </c>
      <c r="G56" s="51">
        <f t="shared" ref="G56:G61" si="16">E56-F56</f>
        <v>-1</v>
      </c>
      <c r="H56">
        <f t="shared" ref="H56:H61" si="17">1+COUNTIF($D$56:$D$61,"&gt;"&amp;D56)+COUNTIFS($D$56:$D$61,D56,$G$56:$G$61,"&gt;"&amp;G56)+COUNTIFS($D$56:$D$61,D56,$G$56:$G$61,G56,$A$56:$A$61,"&lt;"&amp;A56)</f>
        <v>3</v>
      </c>
    </row>
    <row r="57" spans="1:8" x14ac:dyDescent="0.2">
      <c r="A57" t="s">
        <v>3</v>
      </c>
      <c r="B57">
        <f>COUNTIFS('Shuffled Matches'!$L$3:$L$107,$A57,'Shuffled Matches'!$G$3:$G$107,"Men's Singles 2")</f>
        <v>0</v>
      </c>
      <c r="C57">
        <f>COUNTIFS('Shuffled Matches'!$D$3:$D$107,$A57,'Shuffled Matches'!$L$3:$L$107,"Team*",'Shuffled Matches'!$G$3:$G$107,"Men's Singles 2")+COUNTIFS('Shuffled Matches'!$E$3:$E$107,$A57,'Shuffled Matches'!$L$3:$L$107,"Team*",'Shuffled Matches'!$G$3:$G$107,"Men's Singles 2")-B57</f>
        <v>5</v>
      </c>
      <c r="D57" s="50">
        <f t="shared" si="15"/>
        <v>0</v>
      </c>
      <c r="E57">
        <f>SUMIFS('Shuffled Matches'!$N$3:$N$107,'Shuffled Matches'!$D$3:$D$107,$A57,'Shuffled Matches'!$G$3:$G$107,"Men's Singles 2")+SUMIFS('Shuffled Matches'!$O$3:$O$107,'Shuffled Matches'!$E$3:$E$107,$A57,'Shuffled Matches'!$G$3:$G$107,"Men's Singles 2")</f>
        <v>32</v>
      </c>
      <c r="F57">
        <f>SUMIFS('Shuffled Matches'!$O$3:$O$107,'Shuffled Matches'!$D$3:$D$107,$A57,'Shuffled Matches'!$G$3:$G$107,"Men's Singles 2")+SUMIFS('Shuffled Matches'!$N$3:$N$107,'Shuffled Matches'!$E$3:$E$107,$A57,'Shuffled Matches'!$G$3:$G$107,"Men's Singles 2")</f>
        <v>105</v>
      </c>
      <c r="G57" s="51">
        <f t="shared" si="16"/>
        <v>-73</v>
      </c>
      <c r="H57">
        <f t="shared" si="17"/>
        <v>6</v>
      </c>
    </row>
    <row r="58" spans="1:8" x14ac:dyDescent="0.2">
      <c r="A58" t="s">
        <v>63</v>
      </c>
      <c r="B58">
        <f>COUNTIFS('Shuffled Matches'!$L$3:$L$107,$A58,'Shuffled Matches'!$G$3:$G$107,"Men's Singles 2")</f>
        <v>1</v>
      </c>
      <c r="C58">
        <f>COUNTIFS('Shuffled Matches'!$D$3:$D$107,$A58,'Shuffled Matches'!$L$3:$L$107,"Team*",'Shuffled Matches'!$G$3:$G$107,"Men's Singles 2")+COUNTIFS('Shuffled Matches'!$E$3:$E$107,$A58,'Shuffled Matches'!$L$3:$L$107,"Team*",'Shuffled Matches'!$G$3:$G$107,"Men's Singles 2")-B58</f>
        <v>4</v>
      </c>
      <c r="D58" s="50">
        <f t="shared" si="15"/>
        <v>2</v>
      </c>
      <c r="E58">
        <f>SUMIFS('Shuffled Matches'!$N$3:$N$107,'Shuffled Matches'!$D$3:$D$107,$A58,'Shuffled Matches'!$G$3:$G$107,"Men's Singles 2")+SUMIFS('Shuffled Matches'!$O$3:$O$107,'Shuffled Matches'!$E$3:$E$107,$A58,'Shuffled Matches'!$G$3:$G$107,"Men's Singles 2")</f>
        <v>75</v>
      </c>
      <c r="F58">
        <f>SUMIFS('Shuffled Matches'!$O$3:$O$107,'Shuffled Matches'!$D$3:$D$107,$A58,'Shuffled Matches'!$G$3:$G$107,"Men's Singles 2")+SUMIFS('Shuffled Matches'!$N$3:$N$107,'Shuffled Matches'!$E$3:$E$107,$A58,'Shuffled Matches'!$G$3:$G$107,"Men's Singles 2")</f>
        <v>95</v>
      </c>
      <c r="G58" s="51">
        <f t="shared" si="16"/>
        <v>-20</v>
      </c>
      <c r="H58">
        <f t="shared" si="17"/>
        <v>5</v>
      </c>
    </row>
    <row r="59" spans="1:8" x14ac:dyDescent="0.2">
      <c r="A59" t="s">
        <v>59</v>
      </c>
      <c r="B59">
        <f>COUNTIFS('Shuffled Matches'!$L$3:$L$107,$A59,'Shuffled Matches'!$G$3:$G$107,"Men's Singles 2")</f>
        <v>5</v>
      </c>
      <c r="C59">
        <f>COUNTIFS('Shuffled Matches'!$D$3:$D$107,$A59,'Shuffled Matches'!$L$3:$L$107,"Team*",'Shuffled Matches'!$G$3:$G$107,"Men's Singles 2")+COUNTIFS('Shuffled Matches'!$E$3:$E$107,$A59,'Shuffled Matches'!$L$3:$L$107,"Team*",'Shuffled Matches'!$G$3:$G$107,"Men's Singles 2")-B59</f>
        <v>0</v>
      </c>
      <c r="D59" s="50">
        <f t="shared" si="15"/>
        <v>10</v>
      </c>
      <c r="E59">
        <f>SUMIFS('Shuffled Matches'!$N$3:$N$107,'Shuffled Matches'!$D$3:$D$107,$A59,'Shuffled Matches'!$G$3:$G$107,"Men's Singles 2")+SUMIFS('Shuffled Matches'!$O$3:$O$107,'Shuffled Matches'!$E$3:$E$107,$A59,'Shuffled Matches'!$G$3:$G$107,"Men's Singles 2")</f>
        <v>105</v>
      </c>
      <c r="F59">
        <f>SUMIFS('Shuffled Matches'!$O$3:$O$107,'Shuffled Matches'!$D$3:$D$107,$A59,'Shuffled Matches'!$G$3:$G$107,"Men's Singles 2")+SUMIFS('Shuffled Matches'!$N$3:$N$107,'Shuffled Matches'!$E$3:$E$107,$A59,'Shuffled Matches'!$G$3:$G$107,"Men's Singles 2")</f>
        <v>39</v>
      </c>
      <c r="G59" s="51">
        <f t="shared" si="16"/>
        <v>66</v>
      </c>
      <c r="H59">
        <f t="shared" si="17"/>
        <v>1</v>
      </c>
    </row>
    <row r="60" spans="1:8" x14ac:dyDescent="0.2">
      <c r="A60" t="s">
        <v>50</v>
      </c>
      <c r="B60">
        <f>COUNTIFS('Shuffled Matches'!$L$3:$L$107,$A60,'Shuffled Matches'!$G$3:$G$107,"Men's Singles 2")</f>
        <v>4</v>
      </c>
      <c r="C60">
        <f>COUNTIFS('Shuffled Matches'!$D$3:$D$107,$A60,'Shuffled Matches'!$L$3:$L$107,"Team*",'Shuffled Matches'!$G$3:$G$107,"Men's Singles 2")+COUNTIFS('Shuffled Matches'!$E$3:$E$107,$A60,'Shuffled Matches'!$L$3:$L$107,"Team*",'Shuffled Matches'!$G$3:$G$107,"Men's Singles 2")-B60</f>
        <v>1</v>
      </c>
      <c r="D60" s="50">
        <f t="shared" si="15"/>
        <v>8</v>
      </c>
      <c r="E60">
        <f>SUMIFS('Shuffled Matches'!$N$3:$N$107,'Shuffled Matches'!$D$3:$D$107,$A60,'Shuffled Matches'!$G$3:$G$107,"Men's Singles 2")+SUMIFS('Shuffled Matches'!$O$3:$O$107,'Shuffled Matches'!$E$3:$E$107,$A60,'Shuffled Matches'!$G$3:$G$107,"Men's Singles 2")</f>
        <v>97</v>
      </c>
      <c r="F60">
        <f>SUMIFS('Shuffled Matches'!$O$3:$O$107,'Shuffled Matches'!$D$3:$D$107,$A60,'Shuffled Matches'!$G$3:$G$107,"Men's Singles 2")+SUMIFS('Shuffled Matches'!$N$3:$N$107,'Shuffled Matches'!$E$3:$E$107,$A60,'Shuffled Matches'!$G$3:$G$107,"Men's Singles 2")</f>
        <v>50</v>
      </c>
      <c r="G60" s="51">
        <f t="shared" si="16"/>
        <v>47</v>
      </c>
      <c r="H60">
        <f t="shared" si="17"/>
        <v>2</v>
      </c>
    </row>
    <row r="61" spans="1:8" x14ac:dyDescent="0.2">
      <c r="A61" t="s">
        <v>51</v>
      </c>
      <c r="B61">
        <f>COUNTIFS('Shuffled Matches'!$L$3:$L$107,$A61,'Shuffled Matches'!$G$3:$G$107,"Men's Singles 2")</f>
        <v>2</v>
      </c>
      <c r="C61">
        <f>COUNTIFS('Shuffled Matches'!$D$3:$D$107,$A61,'Shuffled Matches'!$L$3:$L$107,"Team*",'Shuffled Matches'!$G$3:$G$107,"Men's Singles 2")+COUNTIFS('Shuffled Matches'!$E$3:$E$107,$A61,'Shuffled Matches'!$L$3:$L$107,"Team*",'Shuffled Matches'!$G$3:$G$107,"Men's Singles 2")-B61</f>
        <v>3</v>
      </c>
      <c r="D61" s="50">
        <f t="shared" si="15"/>
        <v>4</v>
      </c>
      <c r="E61">
        <f>SUMIFS('Shuffled Matches'!$N$3:$N$107,'Shuffled Matches'!$D$3:$D$107,$A61,'Shuffled Matches'!$G$3:$G$107,"Men's Singles 2")+SUMIFS('Shuffled Matches'!$O$3:$O$107,'Shuffled Matches'!$E$3:$E$107,$A61,'Shuffled Matches'!$G$3:$G$107,"Men's Singles 2")</f>
        <v>74</v>
      </c>
      <c r="F61">
        <f>SUMIFS('Shuffled Matches'!$O$3:$O$107,'Shuffled Matches'!$D$3:$D$107,$A61,'Shuffled Matches'!$G$3:$G$107,"Men's Singles 2")+SUMIFS('Shuffled Matches'!$N$3:$N$107,'Shuffled Matches'!$E$3:$E$107,$A61,'Shuffled Matches'!$G$3:$G$107,"Men's Singles 2")</f>
        <v>93</v>
      </c>
      <c r="G61" s="51">
        <f t="shared" si="16"/>
        <v>-19</v>
      </c>
      <c r="H61">
        <f t="shared" si="17"/>
        <v>4</v>
      </c>
    </row>
    <row r="64" spans="1:8" x14ac:dyDescent="0.2">
      <c r="A64" s="70" t="s">
        <v>20</v>
      </c>
      <c r="B64" s="70"/>
      <c r="C64" s="70"/>
      <c r="D64" s="70"/>
      <c r="E64" s="70"/>
      <c r="F64" s="70"/>
      <c r="G64" s="70"/>
      <c r="H64" s="70"/>
    </row>
    <row r="65" spans="1:8" x14ac:dyDescent="0.2">
      <c r="A65" s="50" t="s">
        <v>131</v>
      </c>
      <c r="B65" s="50" t="s">
        <v>226</v>
      </c>
      <c r="C65" s="50" t="s">
        <v>233</v>
      </c>
      <c r="D65" s="50" t="s">
        <v>138</v>
      </c>
      <c r="E65" s="50" t="s">
        <v>234</v>
      </c>
      <c r="F65" s="50" t="s">
        <v>235</v>
      </c>
      <c r="G65" s="50" t="s">
        <v>236</v>
      </c>
      <c r="H65" s="50" t="s">
        <v>134</v>
      </c>
    </row>
    <row r="66" spans="1:8" x14ac:dyDescent="0.2">
      <c r="A66" t="s">
        <v>2</v>
      </c>
      <c r="B66">
        <f>COUNTIFS('Shuffled Matches'!$L$3:$L$107,$A66,'Shuffled Matches'!$G$3:$G$107,"Men's Doubles 1")</f>
        <v>1</v>
      </c>
      <c r="C66">
        <f>COUNTIFS('Shuffled Matches'!$D$3:$D$107,$A66,'Shuffled Matches'!$L$3:$L$107,"Team*",'Shuffled Matches'!$G$3:$G$107,"Men's Doubles 1")+COUNTIFS('Shuffled Matches'!$E$3:$E$107,$A66,'Shuffled Matches'!$L$3:$L$107,"Team*",'Shuffled Matches'!$G$3:$G$107,"Men's Doubles 1")-B66</f>
        <v>4</v>
      </c>
      <c r="D66" s="50">
        <f t="shared" ref="D66:D71" si="18">2*B66</f>
        <v>2</v>
      </c>
      <c r="E66">
        <f>SUMIFS('Shuffled Matches'!$N$3:$N$107,'Shuffled Matches'!$D$3:$D$107,$A66,'Shuffled Matches'!$G$3:$G$107,"Men's Doubles 1")+SUMIFS('Shuffled Matches'!$O$3:$O$107,'Shuffled Matches'!$E$3:$E$107,$A66,'Shuffled Matches'!$G$3:$G$107,"Men's Doubles 1")</f>
        <v>84</v>
      </c>
      <c r="F66">
        <f>SUMIFS('Shuffled Matches'!$O$3:$O$107,'Shuffled Matches'!$D$3:$D$107,$A66,'Shuffled Matches'!$G$3:$G$107,"Men's Doubles 1")+SUMIFS('Shuffled Matches'!$N$3:$N$107,'Shuffled Matches'!$E$3:$E$107,$A66,'Shuffled Matches'!$G$3:$G$107,"Men's Doubles 1")</f>
        <v>95</v>
      </c>
      <c r="G66" s="51">
        <f t="shared" ref="G66:G71" si="19">E66-F66</f>
        <v>-11</v>
      </c>
      <c r="H66">
        <f t="shared" ref="H66:H71" si="20">1+COUNTIF($D$66:$D$71,"&gt;"&amp;D66)+COUNTIFS($D$66:$D$71,D66,$G$66:$G$71,"&gt;"&amp;G66)+COUNTIFS($D$66:$D$71,D66,$G$66:$G$71,G66,$A$66:$A$71,"&lt;"&amp;A66)</f>
        <v>5</v>
      </c>
    </row>
    <row r="67" spans="1:8" x14ac:dyDescent="0.2">
      <c r="A67" t="s">
        <v>3</v>
      </c>
      <c r="B67">
        <f>COUNTIFS('Shuffled Matches'!$L$3:$L$107,$A67,'Shuffled Matches'!$G$3:$G$107,"Men's Doubles 1")</f>
        <v>5</v>
      </c>
      <c r="C67">
        <f>COUNTIFS('Shuffled Matches'!$D$3:$D$107,$A67,'Shuffled Matches'!$L$3:$L$107,"Team*",'Shuffled Matches'!$G$3:$G$107,"Men's Doubles 1")+COUNTIFS('Shuffled Matches'!$E$3:$E$107,$A67,'Shuffled Matches'!$L$3:$L$107,"Team*",'Shuffled Matches'!$G$3:$G$107,"Men's Doubles 1")-B67</f>
        <v>0</v>
      </c>
      <c r="D67" s="50">
        <f t="shared" si="18"/>
        <v>10</v>
      </c>
      <c r="E67">
        <f>SUMIFS('Shuffled Matches'!$N$3:$N$107,'Shuffled Matches'!$D$3:$D$107,$A67,'Shuffled Matches'!$G$3:$G$107,"Men's Doubles 1")+SUMIFS('Shuffled Matches'!$O$3:$O$107,'Shuffled Matches'!$E$3:$E$107,$A67,'Shuffled Matches'!$G$3:$G$107,"Men's Doubles 1")</f>
        <v>105</v>
      </c>
      <c r="F67">
        <f>SUMIFS('Shuffled Matches'!$O$3:$O$107,'Shuffled Matches'!$D$3:$D$107,$A67,'Shuffled Matches'!$G$3:$G$107,"Men's Doubles 1")+SUMIFS('Shuffled Matches'!$N$3:$N$107,'Shuffled Matches'!$E$3:$E$107,$A67,'Shuffled Matches'!$G$3:$G$107,"Men's Doubles 1")</f>
        <v>65</v>
      </c>
      <c r="G67" s="51">
        <f t="shared" si="19"/>
        <v>40</v>
      </c>
      <c r="H67">
        <f t="shared" si="20"/>
        <v>1</v>
      </c>
    </row>
    <row r="68" spans="1:8" x14ac:dyDescent="0.2">
      <c r="A68" t="s">
        <v>63</v>
      </c>
      <c r="B68">
        <f>COUNTIFS('Shuffled Matches'!$L$3:$L$107,$A68,'Shuffled Matches'!$G$3:$G$107,"Men's Doubles 1")</f>
        <v>4</v>
      </c>
      <c r="C68">
        <f>COUNTIFS('Shuffled Matches'!$D$3:$D$107,$A68,'Shuffled Matches'!$L$3:$L$107,"Team*",'Shuffled Matches'!$G$3:$G$107,"Men's Doubles 1")+COUNTIFS('Shuffled Matches'!$E$3:$E$107,$A68,'Shuffled Matches'!$L$3:$L$107,"Team*",'Shuffled Matches'!$G$3:$G$107,"Men's Doubles 1")-B68</f>
        <v>1</v>
      </c>
      <c r="D68" s="50">
        <f t="shared" si="18"/>
        <v>8</v>
      </c>
      <c r="E68">
        <f>SUMIFS('Shuffled Matches'!$N$3:$N$107,'Shuffled Matches'!$D$3:$D$107,$A68,'Shuffled Matches'!$G$3:$G$107,"Men's Doubles 1")+SUMIFS('Shuffled Matches'!$O$3:$O$107,'Shuffled Matches'!$E$3:$E$107,$A68,'Shuffled Matches'!$G$3:$G$107,"Men's Doubles 1")</f>
        <v>100</v>
      </c>
      <c r="F68">
        <f>SUMIFS('Shuffled Matches'!$O$3:$O$107,'Shuffled Matches'!$D$3:$D$107,$A68,'Shuffled Matches'!$G$3:$G$107,"Men's Doubles 1")+SUMIFS('Shuffled Matches'!$N$3:$N$107,'Shuffled Matches'!$E$3:$E$107,$A68,'Shuffled Matches'!$G$3:$G$107,"Men's Doubles 1")</f>
        <v>87</v>
      </c>
      <c r="G68" s="51">
        <f t="shared" si="19"/>
        <v>13</v>
      </c>
      <c r="H68">
        <f t="shared" si="20"/>
        <v>2</v>
      </c>
    </row>
    <row r="69" spans="1:8" x14ac:dyDescent="0.2">
      <c r="A69" t="s">
        <v>59</v>
      </c>
      <c r="B69">
        <f>COUNTIFS('Shuffled Matches'!$L$3:$L$107,$A69,'Shuffled Matches'!$G$3:$G$107,"Men's Doubles 1")</f>
        <v>3</v>
      </c>
      <c r="C69">
        <f>COUNTIFS('Shuffled Matches'!$D$3:$D$107,$A69,'Shuffled Matches'!$L$3:$L$107,"Team*",'Shuffled Matches'!$G$3:$G$107,"Men's Doubles 1")+COUNTIFS('Shuffled Matches'!$E$3:$E$107,$A69,'Shuffled Matches'!$L$3:$L$107,"Team*",'Shuffled Matches'!$G$3:$G$107,"Men's Doubles 1")-B69</f>
        <v>2</v>
      </c>
      <c r="D69" s="50">
        <f t="shared" si="18"/>
        <v>6</v>
      </c>
      <c r="E69">
        <f>SUMIFS('Shuffled Matches'!$N$3:$N$107,'Shuffled Matches'!$D$3:$D$107,$A69,'Shuffled Matches'!$G$3:$G$107,"Men's Doubles 1")+SUMIFS('Shuffled Matches'!$O$3:$O$107,'Shuffled Matches'!$E$3:$E$107,$A69,'Shuffled Matches'!$G$3:$G$107,"Men's Doubles 1")</f>
        <v>93</v>
      </c>
      <c r="F69">
        <f>SUMIFS('Shuffled Matches'!$O$3:$O$107,'Shuffled Matches'!$D$3:$D$107,$A69,'Shuffled Matches'!$G$3:$G$107,"Men's Doubles 1")+SUMIFS('Shuffled Matches'!$N$3:$N$107,'Shuffled Matches'!$E$3:$E$107,$A69,'Shuffled Matches'!$G$3:$G$107,"Men's Doubles 1")</f>
        <v>86</v>
      </c>
      <c r="G69" s="51">
        <f t="shared" si="19"/>
        <v>7</v>
      </c>
      <c r="H69">
        <f t="shared" si="20"/>
        <v>3</v>
      </c>
    </row>
    <row r="70" spans="1:8" x14ac:dyDescent="0.2">
      <c r="A70" t="s">
        <v>50</v>
      </c>
      <c r="B70">
        <f>COUNTIFS('Shuffled Matches'!$L$3:$L$107,$A70,'Shuffled Matches'!$G$3:$G$107,"Men's Doubles 1")</f>
        <v>0</v>
      </c>
      <c r="C70">
        <f>COUNTIFS('Shuffled Matches'!$D$3:$D$107,$A70,'Shuffled Matches'!$L$3:$L$107,"Team*",'Shuffled Matches'!$G$3:$G$107,"Men's Doubles 1")+COUNTIFS('Shuffled Matches'!$E$3:$E$107,$A70,'Shuffled Matches'!$L$3:$L$107,"Team*",'Shuffled Matches'!$G$3:$G$107,"Men's Doubles 1")-B70</f>
        <v>5</v>
      </c>
      <c r="D70" s="50">
        <f t="shared" si="18"/>
        <v>0</v>
      </c>
      <c r="E70">
        <f>SUMIFS('Shuffled Matches'!$N$3:$N$107,'Shuffled Matches'!$D$3:$D$107,$A70,'Shuffled Matches'!$G$3:$G$107,"Men's Doubles 1")+SUMIFS('Shuffled Matches'!$O$3:$O$107,'Shuffled Matches'!$E$3:$E$107,$A70,'Shuffled Matches'!$G$3:$G$107,"Men's Doubles 1")</f>
        <v>63</v>
      </c>
      <c r="F70">
        <f>SUMIFS('Shuffled Matches'!$O$3:$O$107,'Shuffled Matches'!$D$3:$D$107,$A70,'Shuffled Matches'!$G$3:$G$107,"Men's Doubles 1")+SUMIFS('Shuffled Matches'!$N$3:$N$107,'Shuffled Matches'!$E$3:$E$107,$A70,'Shuffled Matches'!$G$3:$G$107,"Men's Doubles 1")</f>
        <v>105</v>
      </c>
      <c r="G70" s="51">
        <f t="shared" si="19"/>
        <v>-42</v>
      </c>
      <c r="H70">
        <f t="shared" si="20"/>
        <v>6</v>
      </c>
    </row>
    <row r="71" spans="1:8" x14ac:dyDescent="0.2">
      <c r="A71" t="s">
        <v>51</v>
      </c>
      <c r="B71">
        <f>COUNTIFS('Shuffled Matches'!$L$3:$L$107,$A71,'Shuffled Matches'!$G$3:$G$107,"Men's Doubles 1")</f>
        <v>2</v>
      </c>
      <c r="C71">
        <f>COUNTIFS('Shuffled Matches'!$D$3:$D$107,$A71,'Shuffled Matches'!$L$3:$L$107,"Team*",'Shuffled Matches'!$G$3:$G$107,"Men's Doubles 1")+COUNTIFS('Shuffled Matches'!$E$3:$E$107,$A71,'Shuffled Matches'!$L$3:$L$107,"Team*",'Shuffled Matches'!$G$3:$G$107,"Men's Doubles 1")-B71</f>
        <v>3</v>
      </c>
      <c r="D71" s="50">
        <f t="shared" si="18"/>
        <v>4</v>
      </c>
      <c r="E71">
        <f>SUMIFS('Shuffled Matches'!$N$3:$N$107,'Shuffled Matches'!$D$3:$D$107,$A71,'Shuffled Matches'!$G$3:$G$107,"Men's Doubles 1")+SUMIFS('Shuffled Matches'!$O$3:$O$107,'Shuffled Matches'!$E$3:$E$107,$A71,'Shuffled Matches'!$G$3:$G$107,"Men's Doubles 1")</f>
        <v>94</v>
      </c>
      <c r="F71">
        <f>SUMIFS('Shuffled Matches'!$O$3:$O$107,'Shuffled Matches'!$D$3:$D$107,$A71,'Shuffled Matches'!$G$3:$G$107,"Men's Doubles 1")+SUMIFS('Shuffled Matches'!$N$3:$N$107,'Shuffled Matches'!$E$3:$E$107,$A71,'Shuffled Matches'!$G$3:$G$107,"Men's Doubles 1")</f>
        <v>101</v>
      </c>
      <c r="G71" s="51">
        <f t="shared" si="19"/>
        <v>-7</v>
      </c>
      <c r="H71">
        <f t="shared" si="20"/>
        <v>4</v>
      </c>
    </row>
    <row r="74" spans="1:8" x14ac:dyDescent="0.2">
      <c r="A74" s="70" t="s">
        <v>21</v>
      </c>
      <c r="B74" s="70"/>
      <c r="C74" s="70"/>
      <c r="D74" s="70"/>
      <c r="E74" s="70"/>
      <c r="F74" s="70"/>
      <c r="G74" s="70"/>
      <c r="H74" s="70"/>
    </row>
    <row r="75" spans="1:8" x14ac:dyDescent="0.2">
      <c r="A75" s="50" t="s">
        <v>131</v>
      </c>
      <c r="B75" s="50" t="s">
        <v>226</v>
      </c>
      <c r="C75" s="50" t="s">
        <v>233</v>
      </c>
      <c r="D75" s="50" t="s">
        <v>138</v>
      </c>
      <c r="E75" s="50" t="s">
        <v>234</v>
      </c>
      <c r="F75" s="50" t="s">
        <v>235</v>
      </c>
      <c r="G75" s="50" t="s">
        <v>236</v>
      </c>
      <c r="H75" s="50" t="s">
        <v>134</v>
      </c>
    </row>
    <row r="76" spans="1:8" x14ac:dyDescent="0.2">
      <c r="A76" t="s">
        <v>2</v>
      </c>
      <c r="B76">
        <f>COUNTIFS('Shuffled Matches'!$L$3:$L$107,$A76,'Shuffled Matches'!$G$3:$G$107,"Men's Doubles 2")</f>
        <v>1</v>
      </c>
      <c r="C76">
        <f>COUNTIFS('Shuffled Matches'!$D$3:$D$107,$A76,'Shuffled Matches'!$L$3:$L$107,"Team*",'Shuffled Matches'!$G$3:$G$107,"Men's Doubles 2")+COUNTIFS('Shuffled Matches'!$E$3:$E$107,$A76,'Shuffled Matches'!$L$3:$L$107,"Team*",'Shuffled Matches'!$G$3:$G$107,"Men's Doubles 2")-B76</f>
        <v>3</v>
      </c>
      <c r="D76" s="50">
        <f t="shared" ref="D76:D81" si="21">2*B76</f>
        <v>2</v>
      </c>
      <c r="E76">
        <f>SUMIFS('Shuffled Matches'!$N$3:$N$107,'Shuffled Matches'!$D$3:$D$107,$A76,'Shuffled Matches'!$G$3:$G$107,"Men's Doubles 2")+SUMIFS('Shuffled Matches'!$O$3:$O$107,'Shuffled Matches'!$E$3:$E$107,$A76,'Shuffled Matches'!$G$3:$G$107,"Men's Doubles 2")</f>
        <v>62</v>
      </c>
      <c r="F76">
        <f>SUMIFS('Shuffled Matches'!$O$3:$O$107,'Shuffled Matches'!$D$3:$D$107,$A76,'Shuffled Matches'!$G$3:$G$107,"Men's Doubles 2")+SUMIFS('Shuffled Matches'!$N$3:$N$107,'Shuffled Matches'!$E$3:$E$107,$A76,'Shuffled Matches'!$G$3:$G$107,"Men's Doubles 2")</f>
        <v>76</v>
      </c>
      <c r="G76" s="51">
        <f t="shared" ref="G76:G81" si="22">E76-F76</f>
        <v>-14</v>
      </c>
      <c r="H76">
        <f t="shared" ref="H76:H81" si="23">1+COUNTIF($D$76:$D$81,"&gt;"&amp;D76)+COUNTIFS($D$76:$D$81,D76,$G$76:$G$81,"&gt;"&amp;G76)+COUNTIFS($D$76:$D$81,D76,$G$76:$G$81,G76,$A$76:$A$81,"&lt;"&amp;A76)</f>
        <v>5</v>
      </c>
    </row>
    <row r="77" spans="1:8" x14ac:dyDescent="0.2">
      <c r="A77" t="s">
        <v>3</v>
      </c>
      <c r="B77">
        <f>COUNTIFS('Shuffled Matches'!$L$3:$L$107,$A77,'Shuffled Matches'!$G$3:$G$107,"Men's Doubles 2")</f>
        <v>3</v>
      </c>
      <c r="C77">
        <f>COUNTIFS('Shuffled Matches'!$D$3:$D$107,$A77,'Shuffled Matches'!$L$3:$L$107,"Team*",'Shuffled Matches'!$G$3:$G$107,"Men's Doubles 2")+COUNTIFS('Shuffled Matches'!$E$3:$E$107,$A77,'Shuffled Matches'!$L$3:$L$107,"Team*",'Shuffled Matches'!$G$3:$G$107,"Men's Doubles 2")-B77</f>
        <v>2</v>
      </c>
      <c r="D77" s="50">
        <f t="shared" si="21"/>
        <v>6</v>
      </c>
      <c r="E77">
        <f>SUMIFS('Shuffled Matches'!$N$3:$N$107,'Shuffled Matches'!$D$3:$D$107,$A77,'Shuffled Matches'!$G$3:$G$107,"Men's Doubles 2")+SUMIFS('Shuffled Matches'!$O$3:$O$107,'Shuffled Matches'!$E$3:$E$107,$A77,'Shuffled Matches'!$G$3:$G$107,"Men's Doubles 2")</f>
        <v>94</v>
      </c>
      <c r="F77">
        <f>SUMIFS('Shuffled Matches'!$O$3:$O$107,'Shuffled Matches'!$D$3:$D$107,$A77,'Shuffled Matches'!$G$3:$G$107,"Men's Doubles 2")+SUMIFS('Shuffled Matches'!$N$3:$N$107,'Shuffled Matches'!$E$3:$E$107,$A77,'Shuffled Matches'!$G$3:$G$107,"Men's Doubles 2")</f>
        <v>79</v>
      </c>
      <c r="G77" s="51">
        <f t="shared" si="22"/>
        <v>15</v>
      </c>
      <c r="H77">
        <f t="shared" si="23"/>
        <v>3</v>
      </c>
    </row>
    <row r="78" spans="1:8" x14ac:dyDescent="0.2">
      <c r="A78" t="s">
        <v>63</v>
      </c>
      <c r="B78">
        <f>COUNTIFS('Shuffled Matches'!$L$3:$L$107,$A78,'Shuffled Matches'!$G$3:$G$107,"Men's Doubles 2")</f>
        <v>4</v>
      </c>
      <c r="C78">
        <f>COUNTIFS('Shuffled Matches'!$D$3:$D$107,$A78,'Shuffled Matches'!$L$3:$L$107,"Team*",'Shuffled Matches'!$G$3:$G$107,"Men's Doubles 2")+COUNTIFS('Shuffled Matches'!$E$3:$E$107,$A78,'Shuffled Matches'!$L$3:$L$107,"Team*",'Shuffled Matches'!$G$3:$G$107,"Men's Doubles 2")-B78</f>
        <v>1</v>
      </c>
      <c r="D78" s="50">
        <f t="shared" si="21"/>
        <v>8</v>
      </c>
      <c r="E78">
        <f>SUMIFS('Shuffled Matches'!$N$3:$N$107,'Shuffled Matches'!$D$3:$D$107,$A78,'Shuffled Matches'!$G$3:$G$107,"Men's Doubles 2")+SUMIFS('Shuffled Matches'!$O$3:$O$107,'Shuffled Matches'!$E$3:$E$107,$A78,'Shuffled Matches'!$G$3:$G$107,"Men's Doubles 2")</f>
        <v>104</v>
      </c>
      <c r="F78">
        <f>SUMIFS('Shuffled Matches'!$O$3:$O$107,'Shuffled Matches'!$D$3:$D$107,$A78,'Shuffled Matches'!$G$3:$G$107,"Men's Doubles 2")+SUMIFS('Shuffled Matches'!$N$3:$N$107,'Shuffled Matches'!$E$3:$E$107,$A78,'Shuffled Matches'!$G$3:$G$107,"Men's Doubles 2")</f>
        <v>92</v>
      </c>
      <c r="G78" s="51">
        <f t="shared" si="22"/>
        <v>12</v>
      </c>
      <c r="H78">
        <f t="shared" si="23"/>
        <v>2</v>
      </c>
    </row>
    <row r="79" spans="1:8" x14ac:dyDescent="0.2">
      <c r="A79" t="s">
        <v>59</v>
      </c>
      <c r="B79">
        <f>COUNTIFS('Shuffled Matches'!$L$3:$L$107,$A79,'Shuffled Matches'!$G$3:$G$107,"Men's Doubles 2")</f>
        <v>2</v>
      </c>
      <c r="C79">
        <f>COUNTIFS('Shuffled Matches'!$D$3:$D$107,$A79,'Shuffled Matches'!$L$3:$L$107,"Team*",'Shuffled Matches'!$G$3:$G$107,"Men's Doubles 2")+COUNTIFS('Shuffled Matches'!$E$3:$E$107,$A79,'Shuffled Matches'!$L$3:$L$107,"Team*",'Shuffled Matches'!$G$3:$G$107,"Men's Doubles 2")-B79</f>
        <v>3</v>
      </c>
      <c r="D79" s="50">
        <f t="shared" si="21"/>
        <v>4</v>
      </c>
      <c r="E79">
        <f>SUMIFS('Shuffled Matches'!$N$3:$N$107,'Shuffled Matches'!$D$3:$D$107,$A79,'Shuffled Matches'!$G$3:$G$107,"Men's Doubles 2")+SUMIFS('Shuffled Matches'!$O$3:$O$107,'Shuffled Matches'!$E$3:$E$107,$A79,'Shuffled Matches'!$G$3:$G$107,"Men's Doubles 2")</f>
        <v>91</v>
      </c>
      <c r="F79">
        <f>SUMIFS('Shuffled Matches'!$O$3:$O$107,'Shuffled Matches'!$D$3:$D$107,$A79,'Shuffled Matches'!$G$3:$G$107,"Men's Doubles 2")+SUMIFS('Shuffled Matches'!$N$3:$N$107,'Shuffled Matches'!$E$3:$E$107,$A79,'Shuffled Matches'!$G$3:$G$107,"Men's Doubles 2")</f>
        <v>81</v>
      </c>
      <c r="G79" s="51">
        <f t="shared" si="22"/>
        <v>10</v>
      </c>
      <c r="H79">
        <f t="shared" si="23"/>
        <v>4</v>
      </c>
    </row>
    <row r="80" spans="1:8" x14ac:dyDescent="0.2">
      <c r="A80" t="s">
        <v>50</v>
      </c>
      <c r="B80">
        <f>COUNTIFS('Shuffled Matches'!$L$3:$L$107,$A80,'Shuffled Matches'!$G$3:$G$107,"Men's Doubles 2")</f>
        <v>0</v>
      </c>
      <c r="C80">
        <f>COUNTIFS('Shuffled Matches'!$D$3:$D$107,$A80,'Shuffled Matches'!$L$3:$L$107,"Team*",'Shuffled Matches'!$G$3:$G$107,"Men's Doubles 2")+COUNTIFS('Shuffled Matches'!$E$3:$E$107,$A80,'Shuffled Matches'!$L$3:$L$107,"Team*",'Shuffled Matches'!$G$3:$G$107,"Men's Doubles 2")-B80</f>
        <v>5</v>
      </c>
      <c r="D80" s="50">
        <f t="shared" si="21"/>
        <v>0</v>
      </c>
      <c r="E80">
        <f>SUMIFS('Shuffled Matches'!$N$3:$N$107,'Shuffled Matches'!$D$3:$D$107,$A80,'Shuffled Matches'!$G$3:$G$107,"Men's Doubles 2")+SUMIFS('Shuffled Matches'!$O$3:$O$107,'Shuffled Matches'!$E$3:$E$107,$A80,'Shuffled Matches'!$G$3:$G$107,"Men's Doubles 2")</f>
        <v>45</v>
      </c>
      <c r="F80">
        <f>SUMIFS('Shuffled Matches'!$O$3:$O$107,'Shuffled Matches'!$D$3:$D$107,$A80,'Shuffled Matches'!$G$3:$G$107,"Men's Doubles 2")+SUMIFS('Shuffled Matches'!$N$3:$N$107,'Shuffled Matches'!$E$3:$E$107,$A80,'Shuffled Matches'!$G$3:$G$107,"Men's Doubles 2")</f>
        <v>105</v>
      </c>
      <c r="G80" s="51">
        <f t="shared" si="22"/>
        <v>-60</v>
      </c>
      <c r="H80">
        <f t="shared" si="23"/>
        <v>6</v>
      </c>
    </row>
    <row r="81" spans="1:8" x14ac:dyDescent="0.2">
      <c r="A81" t="s">
        <v>51</v>
      </c>
      <c r="B81">
        <f>COUNTIFS('Shuffled Matches'!$L$3:$L$107,$A81,'Shuffled Matches'!$G$3:$G$107,"Men's Doubles 2")</f>
        <v>4</v>
      </c>
      <c r="C81">
        <f>COUNTIFS('Shuffled Matches'!$D$3:$D$107,$A81,'Shuffled Matches'!$L$3:$L$107,"Team*",'Shuffled Matches'!$G$3:$G$107,"Men's Doubles 2")+COUNTIFS('Shuffled Matches'!$E$3:$E$107,$A81,'Shuffled Matches'!$L$3:$L$107,"Team*",'Shuffled Matches'!$G$3:$G$107,"Men's Doubles 2")-B81</f>
        <v>0</v>
      </c>
      <c r="D81" s="50">
        <f t="shared" si="21"/>
        <v>8</v>
      </c>
      <c r="E81">
        <f>SUMIFS('Shuffled Matches'!$N$3:$N$107,'Shuffled Matches'!$D$3:$D$107,$A81,'Shuffled Matches'!$G$3:$G$107,"Men's Doubles 2")+SUMIFS('Shuffled Matches'!$O$3:$O$107,'Shuffled Matches'!$E$3:$E$107,$A81,'Shuffled Matches'!$G$3:$G$107,"Men's Doubles 2")</f>
        <v>84</v>
      </c>
      <c r="F81">
        <f>SUMIFS('Shuffled Matches'!$O$3:$O$107,'Shuffled Matches'!$D$3:$D$107,$A81,'Shuffled Matches'!$G$3:$G$107,"Men's Doubles 2")+SUMIFS('Shuffled Matches'!$N$3:$N$107,'Shuffled Matches'!$E$3:$E$107,$A81,'Shuffled Matches'!$G$3:$G$107,"Men's Doubles 2")</f>
        <v>47</v>
      </c>
      <c r="G81" s="51">
        <f t="shared" si="22"/>
        <v>37</v>
      </c>
      <c r="H81">
        <f t="shared" si="23"/>
        <v>1</v>
      </c>
    </row>
  </sheetData>
  <mergeCells count="10">
    <mergeCell ref="A44:H44"/>
    <mergeCell ref="A54:H54"/>
    <mergeCell ref="A64:H64"/>
    <mergeCell ref="A74:H74"/>
    <mergeCell ref="A1:H1"/>
    <mergeCell ref="A2:H2"/>
    <mergeCell ref="A4:H4"/>
    <mergeCell ref="A14:H14"/>
    <mergeCell ref="A24:H24"/>
    <mergeCell ref="A34:H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Sheet1</vt:lpstr>
      <vt:lpstr>Shuffled Matches</vt:lpstr>
      <vt:lpstr>Standings</vt:lpstr>
      <vt:lpstr>Format Scoreboards</vt:lpstr>
      <vt:lpstr>Qualification Data</vt:lpstr>
      <vt:lpstr>Qualifiers</vt:lpstr>
      <vt:lpstr>Finals</vt:lpstr>
      <vt:lpstr>Best Team Ranking</vt:lpstr>
      <vt:lpstr>Points Table</vt:lpstr>
      <vt:lpstr>'Format Scoreboards'!Print_Area</vt:lpstr>
      <vt:lpstr>Sheet1!Print_Area</vt:lpstr>
      <vt:lpstr>'Shuffled Matches'!Print_Area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Akshith Tholakapalli</dc:creator>
  <cp:keywords/>
  <dc:description/>
  <cp:lastModifiedBy>Ali Akber P A</cp:lastModifiedBy>
  <cp:revision/>
  <cp:lastPrinted>2026-10-13T05:50:08Z</cp:lastPrinted>
  <dcterms:created xsi:type="dcterms:W3CDTF">2026-10-06T13:29:42Z</dcterms:created>
  <dcterms:modified xsi:type="dcterms:W3CDTF">2026-10-14T14:55:02Z</dcterms:modified>
  <cp:category/>
  <cp:contentStatus/>
</cp:coreProperties>
</file>