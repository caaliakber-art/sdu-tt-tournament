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iakber/Downloads/"/>
    </mc:Choice>
  </mc:AlternateContent>
  <xr:revisionPtr revIDLastSave="0" documentId="8_{596A87B0-A668-FD44-A9A1-4169A2076BF0}" xr6:coauthVersionLast="47" xr6:coauthVersionMax="47" xr10:uidLastSave="{00000000-0000-0000-0000-000000000000}"/>
  <bookViews>
    <workbookView xWindow="0" yWindow="760" windowWidth="19420" windowHeight="10300" xr2:uid="{9D2E2353-E83C-4F20-BA13-765ABF461872}"/>
  </bookViews>
  <sheets>
    <sheet name="Shuffled Matches" sheetId="1" r:id="rId1"/>
    <sheet name="Format Scoreboards" sheetId="2" r:id="rId2"/>
    <sheet name="Qualifiers" sheetId="3" r:id="rId3"/>
    <sheet name="Finals" sheetId="4" r:id="rId4"/>
    <sheet name="Best Team Ranking" sheetId="5" r:id="rId5"/>
  </sheets>
  <externalReferences>
    <externalReference r:id="rId6"/>
  </externalReferences>
  <definedNames>
    <definedName name="_xlnm._FilterDatabase" localSheetId="0" hidden="1">'Shuffled Matches'!$B$2:$L$107</definedName>
    <definedName name="_xlnm.Print_Area" localSheetId="0">'Shuffled Matches'!$B$2:$K$112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8" i="4" l="1"/>
  <c r="P28" i="4"/>
  <c r="I28" i="4"/>
  <c r="R28" i="4" s="1"/>
  <c r="Q27" i="4"/>
  <c r="K28" i="4" s="1"/>
  <c r="P27" i="4"/>
  <c r="I27" i="4"/>
  <c r="R27" i="4" s="1"/>
  <c r="L28" i="4" s="1"/>
  <c r="Q26" i="4"/>
  <c r="D28" i="4" s="1"/>
  <c r="P26" i="4"/>
  <c r="I26" i="4"/>
  <c r="R26" i="4" s="1"/>
  <c r="E28" i="4" s="1"/>
  <c r="P25" i="4"/>
  <c r="I25" i="4"/>
  <c r="R25" i="4" s="1"/>
  <c r="Q24" i="4"/>
  <c r="S24" i="4" s="1"/>
  <c r="T24" i="4" s="1"/>
  <c r="P24" i="4"/>
  <c r="I24" i="4"/>
  <c r="R24" i="4" s="1"/>
  <c r="S23" i="4"/>
  <c r="T23" i="4" s="1"/>
  <c r="Q23" i="4"/>
  <c r="P23" i="4"/>
  <c r="I23" i="4"/>
  <c r="R23" i="4" s="1"/>
  <c r="P22" i="4"/>
  <c r="I22" i="4"/>
  <c r="R22" i="4" s="1"/>
  <c r="P20" i="4"/>
  <c r="I20" i="4"/>
  <c r="R20" i="4" s="1"/>
  <c r="D20" i="4"/>
  <c r="Q19" i="4"/>
  <c r="K20" i="4" s="1"/>
  <c r="P19" i="4"/>
  <c r="I19" i="4"/>
  <c r="R19" i="4" s="1"/>
  <c r="L20" i="4" s="1"/>
  <c r="R18" i="4"/>
  <c r="E20" i="4" s="1"/>
  <c r="Q18" i="4"/>
  <c r="P18" i="4"/>
  <c r="I18" i="4"/>
  <c r="S17" i="4"/>
  <c r="T17" i="4" s="1"/>
  <c r="Q17" i="4"/>
  <c r="P17" i="4"/>
  <c r="I17" i="4"/>
  <c r="R17" i="4" s="1"/>
  <c r="P16" i="4"/>
  <c r="I16" i="4"/>
  <c r="R16" i="4" s="1"/>
  <c r="P15" i="4"/>
  <c r="I15" i="4"/>
  <c r="R15" i="4" s="1"/>
  <c r="Q14" i="4"/>
  <c r="S14" i="4" s="1"/>
  <c r="T14" i="4" s="1"/>
  <c r="P14" i="4"/>
  <c r="I14" i="4"/>
  <c r="R14" i="4" s="1"/>
  <c r="Q13" i="4"/>
  <c r="P13" i="4"/>
  <c r="I13" i="4"/>
  <c r="R13" i="4" s="1"/>
  <c r="Q12" i="4"/>
  <c r="K13" i="4" s="1"/>
  <c r="P12" i="4"/>
  <c r="L12" i="4"/>
  <c r="I12" i="4"/>
  <c r="R12" i="4" s="1"/>
  <c r="L13" i="4" s="1"/>
  <c r="Q11" i="4"/>
  <c r="D13" i="4" s="1"/>
  <c r="P11" i="4"/>
  <c r="I11" i="4"/>
  <c r="R11" i="4" s="1"/>
  <c r="E13" i="4" s="1"/>
  <c r="E11" i="4"/>
  <c r="Q10" i="4"/>
  <c r="P10" i="4"/>
  <c r="I10" i="4"/>
  <c r="R10" i="4" s="1"/>
  <c r="Q9" i="4"/>
  <c r="K10" i="4" s="1"/>
  <c r="P9" i="4"/>
  <c r="L9" i="4"/>
  <c r="I9" i="4"/>
  <c r="R9" i="4" s="1"/>
  <c r="L10" i="4" s="1"/>
  <c r="D9" i="4"/>
  <c r="Q8" i="4"/>
  <c r="D10" i="4" s="1"/>
  <c r="P8" i="4"/>
  <c r="I8" i="4"/>
  <c r="R8" i="4" s="1"/>
  <c r="E10" i="4" s="1"/>
  <c r="Q7" i="4"/>
  <c r="P7" i="4"/>
  <c r="I7" i="4"/>
  <c r="R7" i="4" s="1"/>
  <c r="Q6" i="4"/>
  <c r="K7" i="4" s="1"/>
  <c r="P6" i="4"/>
  <c r="L6" i="4"/>
  <c r="I6" i="4"/>
  <c r="R6" i="4" s="1"/>
  <c r="L7" i="4" s="1"/>
  <c r="Q5" i="4"/>
  <c r="D7" i="4" s="1"/>
  <c r="P5" i="4"/>
  <c r="I5" i="4"/>
  <c r="R5" i="4" s="1"/>
  <c r="E5" i="4"/>
  <c r="G43" i="3" a="1"/>
  <c r="G43" i="3" s="1"/>
  <c r="L25" i="4" s="1"/>
  <c r="F43" i="3" a="1"/>
  <c r="F43" i="3" s="1"/>
  <c r="K25" i="4" s="1"/>
  <c r="D43" i="3" a="1"/>
  <c r="D43" i="3" s="1"/>
  <c r="E25" i="4" s="1"/>
  <c r="C43" i="3" a="1"/>
  <c r="C43" i="3" s="1"/>
  <c r="D25" i="4" s="1"/>
  <c r="G42" i="3" a="1"/>
  <c r="G42" i="3" s="1"/>
  <c r="L24" i="4" s="1"/>
  <c r="F42" i="3" a="1"/>
  <c r="F42" i="3" s="1"/>
  <c r="K24" i="4" s="1"/>
  <c r="D42" i="3" a="1"/>
  <c r="D42" i="3" s="1"/>
  <c r="E24" i="4" s="1"/>
  <c r="C42" i="3" a="1"/>
  <c r="C42" i="3" s="1"/>
  <c r="D24" i="4" s="1"/>
  <c r="G41" i="3" a="1"/>
  <c r="G41" i="3" s="1"/>
  <c r="L23" i="4" s="1"/>
  <c r="F41" i="3" a="1"/>
  <c r="F41" i="3" s="1"/>
  <c r="K23" i="4" s="1"/>
  <c r="D41" i="3" a="1"/>
  <c r="D41" i="3" s="1"/>
  <c r="E23" i="4" s="1"/>
  <c r="C41" i="3" a="1"/>
  <c r="C41" i="3" s="1"/>
  <c r="D23" i="4" s="1"/>
  <c r="G40" i="3" a="1"/>
  <c r="G40" i="3" s="1"/>
  <c r="L22" i="4" s="1"/>
  <c r="F40" i="3" a="1"/>
  <c r="F40" i="3" s="1"/>
  <c r="K22" i="4" s="1"/>
  <c r="D40" i="3" a="1"/>
  <c r="D40" i="3" s="1"/>
  <c r="E22" i="4" s="1"/>
  <c r="C40" i="3" a="1"/>
  <c r="C40" i="3" s="1"/>
  <c r="D22" i="4" s="1"/>
  <c r="G30" i="3" a="1"/>
  <c r="G30" i="3" s="1"/>
  <c r="L17" i="4" s="1"/>
  <c r="F30" i="3" a="1"/>
  <c r="F30" i="3" s="1"/>
  <c r="K17" i="4" s="1"/>
  <c r="D30" i="3" a="1"/>
  <c r="D30" i="3" s="1"/>
  <c r="E17" i="4" s="1"/>
  <c r="C30" i="3" a="1"/>
  <c r="C30" i="3" s="1"/>
  <c r="D17" i="4" s="1"/>
  <c r="G29" i="3" a="1"/>
  <c r="G29" i="3" s="1"/>
  <c r="L16" i="4" s="1"/>
  <c r="F29" i="3" a="1"/>
  <c r="F29" i="3" s="1"/>
  <c r="K16" i="4" s="1"/>
  <c r="D29" i="3" a="1"/>
  <c r="D29" i="3" s="1"/>
  <c r="E16" i="4" s="1"/>
  <c r="C29" i="3" a="1"/>
  <c r="C29" i="3" s="1"/>
  <c r="D16" i="4" s="1"/>
  <c r="G28" i="3" a="1"/>
  <c r="G28" i="3" s="1"/>
  <c r="L15" i="4" s="1"/>
  <c r="F28" i="3" a="1"/>
  <c r="F28" i="3" s="1"/>
  <c r="K15" i="4" s="1"/>
  <c r="D28" i="3" a="1"/>
  <c r="D28" i="3" s="1"/>
  <c r="E15" i="4" s="1"/>
  <c r="C28" i="3" a="1"/>
  <c r="C28" i="3" s="1"/>
  <c r="D15" i="4" s="1"/>
  <c r="G27" i="3" a="1"/>
  <c r="G27" i="3" s="1"/>
  <c r="L14" i="4" s="1"/>
  <c r="F27" i="3" a="1"/>
  <c r="F27" i="3" s="1"/>
  <c r="K14" i="4" s="1"/>
  <c r="D27" i="3" a="1"/>
  <c r="D27" i="3" s="1"/>
  <c r="E14" i="4" s="1"/>
  <c r="C27" i="3" a="1"/>
  <c r="C27" i="3" s="1"/>
  <c r="D14" i="4" s="1"/>
  <c r="F23" i="3"/>
  <c r="E23" i="3"/>
  <c r="D23" i="3"/>
  <c r="C23" i="3"/>
  <c r="L11" i="4" s="1"/>
  <c r="B23" i="3"/>
  <c r="K11" i="4" s="1"/>
  <c r="F22" i="3"/>
  <c r="E22" i="3"/>
  <c r="D22" i="3"/>
  <c r="C22" i="3"/>
  <c r="B22" i="3"/>
  <c r="K12" i="4" s="1"/>
  <c r="F21" i="3"/>
  <c r="E21" i="3"/>
  <c r="D21" i="3"/>
  <c r="C21" i="3"/>
  <c r="E12" i="4" s="1"/>
  <c r="B21" i="3"/>
  <c r="D12" i="4" s="1"/>
  <c r="F20" i="3"/>
  <c r="E20" i="3"/>
  <c r="D20" i="3"/>
  <c r="C20" i="3"/>
  <c r="B20" i="3"/>
  <c r="D11" i="4" s="1"/>
  <c r="F16" i="3"/>
  <c r="E16" i="3"/>
  <c r="D16" i="3"/>
  <c r="C16" i="3"/>
  <c r="L8" i="4" s="1"/>
  <c r="B16" i="3"/>
  <c r="K8" i="4" s="1"/>
  <c r="F15" i="3"/>
  <c r="E15" i="3"/>
  <c r="D15" i="3"/>
  <c r="C15" i="3"/>
  <c r="B15" i="3"/>
  <c r="K9" i="4" s="1"/>
  <c r="F14" i="3"/>
  <c r="E14" i="3"/>
  <c r="D14" i="3"/>
  <c r="C14" i="3"/>
  <c r="E9" i="4" s="1"/>
  <c r="B14" i="3"/>
  <c r="F13" i="3"/>
  <c r="E13" i="3"/>
  <c r="D13" i="3"/>
  <c r="C13" i="3"/>
  <c r="E8" i="4" s="1"/>
  <c r="B13" i="3"/>
  <c r="D8" i="4" s="1"/>
  <c r="F9" i="3"/>
  <c r="E9" i="3"/>
  <c r="D9" i="3"/>
  <c r="C9" i="3"/>
  <c r="L5" i="4" s="1"/>
  <c r="B9" i="3"/>
  <c r="K5" i="4" s="1"/>
  <c r="F8" i="3"/>
  <c r="E8" i="3"/>
  <c r="D8" i="3"/>
  <c r="C8" i="3"/>
  <c r="B8" i="3"/>
  <c r="K6" i="4" s="1"/>
  <c r="F7" i="3"/>
  <c r="E7" i="3"/>
  <c r="D7" i="3"/>
  <c r="C7" i="3"/>
  <c r="E6" i="4" s="1"/>
  <c r="B7" i="3"/>
  <c r="D6" i="4" s="1"/>
  <c r="F6" i="3"/>
  <c r="E6" i="3"/>
  <c r="D6" i="3"/>
  <c r="C6" i="3"/>
  <c r="B6" i="3"/>
  <c r="D5" i="4" s="1"/>
  <c r="C93" i="2" a="1"/>
  <c r="C93" i="2" s="1"/>
  <c r="C92" i="2" a="1"/>
  <c r="C92" i="2" s="1"/>
  <c r="C91" i="2" a="1"/>
  <c r="C91" i="2" s="1"/>
  <c r="C90" i="2" a="1"/>
  <c r="C90" i="2" s="1"/>
  <c r="C89" i="2" a="1"/>
  <c r="C89" i="2" s="1"/>
  <c r="C88" i="2" a="1"/>
  <c r="C88" i="2" s="1"/>
  <c r="C79" i="2" a="1"/>
  <c r="C79" i="2" s="1"/>
  <c r="C78" i="2" a="1"/>
  <c r="C78" i="2" s="1"/>
  <c r="C77" i="2" a="1"/>
  <c r="C77" i="2" s="1"/>
  <c r="C76" i="2" a="1"/>
  <c r="C76" i="2" s="1"/>
  <c r="C75" i="2" a="1"/>
  <c r="C75" i="2" s="1"/>
  <c r="C74" i="2" a="1"/>
  <c r="C74" i="2" s="1"/>
  <c r="C65" i="2" a="1"/>
  <c r="C65" i="2" s="1"/>
  <c r="C64" i="2"/>
  <c r="C64" i="2" a="1"/>
  <c r="C63" i="2" a="1"/>
  <c r="C63" i="2" s="1"/>
  <c r="C62" i="2" a="1"/>
  <c r="C62" i="2" s="1"/>
  <c r="C61" i="2" a="1"/>
  <c r="C61" i="2" s="1"/>
  <c r="C60" i="2" a="1"/>
  <c r="C60" i="2" s="1"/>
  <c r="C51" i="2"/>
  <c r="C51" i="2" a="1"/>
  <c r="C50" i="2"/>
  <c r="C50" i="2" a="1"/>
  <c r="C49" i="2" a="1"/>
  <c r="C49" i="2" s="1"/>
  <c r="C48" i="2" a="1"/>
  <c r="C48" i="2" s="1"/>
  <c r="C47" i="2" a="1"/>
  <c r="C47" i="2" s="1"/>
  <c r="C46" i="2" a="1"/>
  <c r="C46" i="2" s="1"/>
  <c r="C37" i="2"/>
  <c r="C37" i="2" a="1"/>
  <c r="C36" i="2" a="1"/>
  <c r="C36" i="2" s="1"/>
  <c r="C35" i="2" a="1"/>
  <c r="C35" i="2" s="1"/>
  <c r="C34" i="2" a="1"/>
  <c r="C34" i="2" s="1"/>
  <c r="C33" i="2" a="1"/>
  <c r="C33" i="2" s="1"/>
  <c r="C32" i="2" a="1"/>
  <c r="C32" i="2" s="1"/>
  <c r="E23" i="2"/>
  <c r="C23" i="2"/>
  <c r="C23" i="2" a="1"/>
  <c r="E22" i="2"/>
  <c r="C22" i="2" a="1"/>
  <c r="C22" i="2" s="1"/>
  <c r="H21" i="2"/>
  <c r="J21" i="2" s="1"/>
  <c r="E21" i="2"/>
  <c r="C21" i="2" a="1"/>
  <c r="C21" i="2" s="1"/>
  <c r="H20" i="2"/>
  <c r="J20" i="2" s="1"/>
  <c r="E20" i="2"/>
  <c r="C20" i="2" a="1"/>
  <c r="C20" i="2" s="1"/>
  <c r="H19" i="2"/>
  <c r="J19" i="2" s="1"/>
  <c r="E19" i="2"/>
  <c r="C19" i="2" a="1"/>
  <c r="C19" i="2" s="1"/>
  <c r="H18" i="2"/>
  <c r="J18" i="2" s="1"/>
  <c r="E18" i="2"/>
  <c r="C18" i="2" a="1"/>
  <c r="C18" i="2" s="1"/>
  <c r="C9" i="2" a="1"/>
  <c r="C9" i="2" s="1"/>
  <c r="C8" i="2" a="1"/>
  <c r="C8" i="2" s="1"/>
  <c r="C7" i="2" a="1"/>
  <c r="C7" i="2" s="1"/>
  <c r="C6" i="2" a="1"/>
  <c r="C6" i="2" s="1"/>
  <c r="C5" i="2" a="1"/>
  <c r="C5" i="2" s="1"/>
  <c r="C4" i="2" a="1"/>
  <c r="C4" i="2" s="1"/>
  <c r="L107" i="1"/>
  <c r="J107" i="1"/>
  <c r="L106" i="1"/>
  <c r="J106" i="1"/>
  <c r="L105" i="1"/>
  <c r="J105" i="1"/>
  <c r="L104" i="1"/>
  <c r="J104" i="1"/>
  <c r="L103" i="1"/>
  <c r="J103" i="1"/>
  <c r="L102" i="1"/>
  <c r="J102" i="1"/>
  <c r="L101" i="1"/>
  <c r="L100" i="1"/>
  <c r="J100" i="1"/>
  <c r="L99" i="1"/>
  <c r="J99" i="1"/>
  <c r="L98" i="1"/>
  <c r="J98" i="1"/>
  <c r="L97" i="1"/>
  <c r="J97" i="1"/>
  <c r="L96" i="1"/>
  <c r="J96" i="1"/>
  <c r="L95" i="1"/>
  <c r="J95" i="1"/>
  <c r="L94" i="1"/>
  <c r="J94" i="1"/>
  <c r="L93" i="1"/>
  <c r="L92" i="1"/>
  <c r="J92" i="1"/>
  <c r="L91" i="1"/>
  <c r="J91" i="1"/>
  <c r="L90" i="1"/>
  <c r="J90" i="1"/>
  <c r="L89" i="1"/>
  <c r="J89" i="1"/>
  <c r="L88" i="1"/>
  <c r="J88" i="1"/>
  <c r="L87" i="1"/>
  <c r="J87" i="1"/>
  <c r="L86" i="1"/>
  <c r="J86" i="1"/>
  <c r="L85" i="1"/>
  <c r="J85" i="1"/>
  <c r="L84" i="1"/>
  <c r="J84" i="1"/>
  <c r="L83" i="1"/>
  <c r="J83" i="1"/>
  <c r="L82" i="1"/>
  <c r="J82" i="1"/>
  <c r="L81" i="1"/>
  <c r="J81" i="1"/>
  <c r="L80" i="1"/>
  <c r="J80" i="1"/>
  <c r="L79" i="1"/>
  <c r="J79" i="1"/>
  <c r="L78" i="1"/>
  <c r="J78" i="1"/>
  <c r="L77" i="1"/>
  <c r="J77" i="1"/>
  <c r="L76" i="1"/>
  <c r="J76" i="1"/>
  <c r="L75" i="1"/>
  <c r="J75" i="1"/>
  <c r="L74" i="1"/>
  <c r="J74" i="1"/>
  <c r="L73" i="1"/>
  <c r="J73" i="1"/>
  <c r="L72" i="1"/>
  <c r="J72" i="1"/>
  <c r="L71" i="1"/>
  <c r="J71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  <c r="L49" i="1"/>
  <c r="J49" i="1"/>
  <c r="L48" i="1"/>
  <c r="J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4" i="1"/>
  <c r="J34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J5" i="1"/>
  <c r="L4" i="1"/>
  <c r="J4" i="1"/>
  <c r="L3" i="1"/>
  <c r="B65" i="2" s="1"/>
  <c r="J3" i="1"/>
  <c r="E9" i="5" l="1"/>
  <c r="G9" i="5" s="1"/>
  <c r="E5" i="5"/>
  <c r="G5" i="5" s="1"/>
  <c r="E8" i="5"/>
  <c r="G8" i="5" s="1"/>
  <c r="E7" i="5"/>
  <c r="G7" i="5" s="1"/>
  <c r="E10" i="5"/>
  <c r="G10" i="5" s="1"/>
  <c r="E6" i="5"/>
  <c r="G6" i="5" s="1"/>
  <c r="C10" i="5"/>
  <c r="C6" i="5"/>
  <c r="C9" i="5"/>
  <c r="C5" i="5"/>
  <c r="E7" i="4"/>
  <c r="C8" i="5"/>
  <c r="C7" i="5"/>
  <c r="B46" i="2"/>
  <c r="B47" i="2"/>
  <c r="B48" i="2"/>
  <c r="B49" i="2"/>
  <c r="D49" i="2" s="1"/>
  <c r="E49" i="2" s="1"/>
  <c r="B50" i="2"/>
  <c r="B7" i="5"/>
  <c r="D7" i="5" s="1"/>
  <c r="B9" i="2"/>
  <c r="B79" i="2"/>
  <c r="B23" i="2"/>
  <c r="B4" i="2"/>
  <c r="B5" i="2"/>
  <c r="B6" i="2"/>
  <c r="D6" i="2" s="1"/>
  <c r="E6" i="2" s="1"/>
  <c r="B7" i="2"/>
  <c r="B8" i="2"/>
  <c r="I18" i="2"/>
  <c r="I19" i="2"/>
  <c r="I20" i="2"/>
  <c r="I21" i="2"/>
  <c r="B60" i="2"/>
  <c r="B61" i="2"/>
  <c r="D61" i="2" s="1"/>
  <c r="E61" i="2" s="1"/>
  <c r="B62" i="2"/>
  <c r="B63" i="2"/>
  <c r="B64" i="2"/>
  <c r="B8" i="5"/>
  <c r="B37" i="2"/>
  <c r="B93" i="2"/>
  <c r="B18" i="2"/>
  <c r="B19" i="2"/>
  <c r="D19" i="2" s="1"/>
  <c r="B20" i="2"/>
  <c r="B21" i="2"/>
  <c r="B22" i="2"/>
  <c r="B74" i="2"/>
  <c r="B75" i="2"/>
  <c r="B76" i="2"/>
  <c r="B77" i="2"/>
  <c r="B78" i="2"/>
  <c r="D78" i="2" s="1"/>
  <c r="E78" i="2" s="1"/>
  <c r="Q15" i="4"/>
  <c r="S15" i="4" s="1"/>
  <c r="T15" i="4" s="1"/>
  <c r="J18" i="4" s="1"/>
  <c r="Q25" i="4"/>
  <c r="S25" i="4" s="1"/>
  <c r="T25" i="4" s="1"/>
  <c r="B5" i="5"/>
  <c r="D5" i="5" s="1"/>
  <c r="B9" i="5"/>
  <c r="D9" i="5" s="1"/>
  <c r="B51" i="2"/>
  <c r="B32" i="2"/>
  <c r="B33" i="2"/>
  <c r="B34" i="2"/>
  <c r="D34" i="2" s="1"/>
  <c r="E34" i="2" s="1"/>
  <c r="B35" i="2"/>
  <c r="B36" i="2"/>
  <c r="B88" i="2"/>
  <c r="B89" i="2"/>
  <c r="B90" i="2"/>
  <c r="B91" i="2"/>
  <c r="B92" i="2"/>
  <c r="D92" i="2" s="1"/>
  <c r="E92" i="2" s="1"/>
  <c r="Q16" i="4"/>
  <c r="S16" i="4" s="1"/>
  <c r="T16" i="4" s="1"/>
  <c r="K18" i="4" s="1"/>
  <c r="L18" i="4" s="1"/>
  <c r="Q20" i="4"/>
  <c r="Q22" i="4"/>
  <c r="S22" i="4" s="1"/>
  <c r="T22" i="4" s="1"/>
  <c r="B6" i="5"/>
  <c r="D6" i="5" s="1"/>
  <c r="B10" i="5"/>
  <c r="D18" i="2" l="1"/>
  <c r="J19" i="4"/>
  <c r="D91" i="2"/>
  <c r="E91" i="2" s="1"/>
  <c r="D32" i="2"/>
  <c r="D76" i="2"/>
  <c r="E76" i="2" s="1"/>
  <c r="D93" i="2"/>
  <c r="E93" i="2" s="1"/>
  <c r="D4" i="2"/>
  <c r="D47" i="2"/>
  <c r="E47" i="2" s="1"/>
  <c r="K19" i="4"/>
  <c r="L19" i="4" s="1"/>
  <c r="D33" i="2"/>
  <c r="E33" i="2" s="1"/>
  <c r="D90" i="2"/>
  <c r="E90" i="2" s="1"/>
  <c r="D51" i="2"/>
  <c r="E51" i="2" s="1"/>
  <c r="D75" i="2"/>
  <c r="E75" i="2" s="1"/>
  <c r="D37" i="2"/>
  <c r="E37" i="2" s="1"/>
  <c r="D23" i="2"/>
  <c r="D46" i="2"/>
  <c r="C18" i="4"/>
  <c r="D60" i="2"/>
  <c r="D10" i="5"/>
  <c r="D89" i="2"/>
  <c r="E89" i="2" s="1"/>
  <c r="D74" i="2"/>
  <c r="D8" i="5"/>
  <c r="D79" i="2"/>
  <c r="E79" i="2" s="1"/>
  <c r="D18" i="4"/>
  <c r="E18" i="4" s="1"/>
  <c r="D48" i="2"/>
  <c r="E48" i="2" s="1"/>
  <c r="D88" i="2"/>
  <c r="D22" i="2"/>
  <c r="D64" i="2"/>
  <c r="E64" i="2" s="1"/>
  <c r="D9" i="2"/>
  <c r="E9" i="2" s="1"/>
  <c r="C19" i="4"/>
  <c r="D5" i="2"/>
  <c r="E5" i="2" s="1"/>
  <c r="K27" i="4"/>
  <c r="L27" i="4" s="1"/>
  <c r="J27" i="4"/>
  <c r="K26" i="4"/>
  <c r="L26" i="4" s="1"/>
  <c r="J26" i="4"/>
  <c r="D27" i="4"/>
  <c r="E27" i="4" s="1"/>
  <c r="C27" i="4"/>
  <c r="D26" i="4"/>
  <c r="E26" i="4" s="1"/>
  <c r="C26" i="4"/>
  <c r="D36" i="2"/>
  <c r="E36" i="2" s="1"/>
  <c r="D21" i="2"/>
  <c r="D63" i="2"/>
  <c r="E63" i="2" s="1"/>
  <c r="D8" i="2"/>
  <c r="E8" i="2" s="1"/>
  <c r="D19" i="4"/>
  <c r="E19" i="4" s="1"/>
  <c r="D77" i="2"/>
  <c r="E77" i="2" s="1"/>
  <c r="D35" i="2"/>
  <c r="E35" i="2" s="1"/>
  <c r="D20" i="2"/>
  <c r="D62" i="2"/>
  <c r="E62" i="2" s="1"/>
  <c r="D7" i="2"/>
  <c r="E7" i="2" s="1"/>
  <c r="D50" i="2"/>
  <c r="E50" i="2" s="1"/>
  <c r="D65" i="2"/>
  <c r="E65" i="2" s="1"/>
  <c r="H49" i="2" l="1"/>
  <c r="H48" i="2"/>
  <c r="H47" i="2"/>
  <c r="H46" i="2"/>
  <c r="E46" i="2"/>
  <c r="I8" i="5"/>
  <c r="E4" i="2"/>
  <c r="H6" i="2"/>
  <c r="H5" i="2"/>
  <c r="H7" i="2"/>
  <c r="H4" i="2"/>
  <c r="H77" i="2"/>
  <c r="H76" i="2"/>
  <c r="H75" i="2"/>
  <c r="H74" i="2"/>
  <c r="E74" i="2"/>
  <c r="H91" i="2"/>
  <c r="H90" i="2"/>
  <c r="H89" i="2"/>
  <c r="H88" i="2"/>
  <c r="E88" i="2"/>
  <c r="H35" i="2"/>
  <c r="H34" i="2"/>
  <c r="H33" i="2"/>
  <c r="H32" i="2"/>
  <c r="E32" i="2"/>
  <c r="H63" i="2"/>
  <c r="H62" i="2"/>
  <c r="H61" i="2"/>
  <c r="H60" i="2"/>
  <c r="E60" i="2"/>
  <c r="F6" i="5" a="1"/>
  <c r="F6" i="5" s="1"/>
  <c r="H6" i="5" s="1"/>
  <c r="I6" i="5" s="1"/>
  <c r="F8" i="5" a="1"/>
  <c r="F8" i="5" s="1"/>
  <c r="H8" i="5" s="1"/>
  <c r="F9" i="5" a="1"/>
  <c r="F9" i="5" s="1"/>
  <c r="H9" i="5" s="1"/>
  <c r="I9" i="5" s="1"/>
  <c r="F10" i="5" a="1"/>
  <c r="F10" i="5" s="1"/>
  <c r="H10" i="5" s="1"/>
  <c r="I10" i="5" s="1"/>
  <c r="J10" i="5" s="1"/>
  <c r="F5" i="5" a="1"/>
  <c r="F5" i="5" s="1"/>
  <c r="H5" i="5" s="1"/>
  <c r="I5" i="5" s="1"/>
  <c r="F7" i="5" a="1"/>
  <c r="F7" i="5" s="1"/>
  <c r="H7" i="5" s="1"/>
  <c r="I7" i="5" s="1"/>
  <c r="J35" i="2" l="1"/>
  <c r="I35" i="2"/>
  <c r="J33" i="2"/>
  <c r="I33" i="2"/>
  <c r="J6" i="2"/>
  <c r="I6" i="2"/>
  <c r="J60" i="2"/>
  <c r="I60" i="2"/>
  <c r="J34" i="2"/>
  <c r="I34" i="2"/>
  <c r="J74" i="2"/>
  <c r="I74" i="2"/>
  <c r="J7" i="5"/>
  <c r="J5" i="5"/>
  <c r="J62" i="2"/>
  <c r="I62" i="2"/>
  <c r="J76" i="2"/>
  <c r="I76" i="2"/>
  <c r="J61" i="2"/>
  <c r="I61" i="2"/>
  <c r="J8" i="5"/>
  <c r="J63" i="2"/>
  <c r="I63" i="2"/>
  <c r="J88" i="2"/>
  <c r="I88" i="2"/>
  <c r="J77" i="2"/>
  <c r="I77" i="2"/>
  <c r="J46" i="2"/>
  <c r="I46" i="2"/>
  <c r="J9" i="5"/>
  <c r="J89" i="2"/>
  <c r="I89" i="2"/>
  <c r="J4" i="2"/>
  <c r="I4" i="2"/>
  <c r="J47" i="2"/>
  <c r="I47" i="2"/>
  <c r="J75" i="2"/>
  <c r="I75" i="2"/>
  <c r="J90" i="2"/>
  <c r="I90" i="2"/>
  <c r="J7" i="2"/>
  <c r="I7" i="2"/>
  <c r="J48" i="2"/>
  <c r="I48" i="2"/>
  <c r="J6" i="5"/>
  <c r="J32" i="2"/>
  <c r="I32" i="2"/>
  <c r="J91" i="2"/>
  <c r="I91" i="2"/>
  <c r="J5" i="2"/>
  <c r="I5" i="2"/>
  <c r="J49" i="2"/>
  <c r="I4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<sst xmlns="http://schemas.openxmlformats.org/spreadsheetml/2006/main" count="1193" uniqueCount="197">
  <si>
    <t>Day</t>
  </si>
  <si>
    <t>Timing</t>
  </si>
  <si>
    <t>Team 1</t>
  </si>
  <si>
    <t>Team 2</t>
  </si>
  <si>
    <t>Matches</t>
  </si>
  <si>
    <t>Format</t>
  </si>
  <si>
    <t>Participant 1</t>
  </si>
  <si>
    <t>Participant 2</t>
  </si>
  <si>
    <t>Winner</t>
  </si>
  <si>
    <t>Score (Team 1-Team 2)</t>
  </si>
  <si>
    <t>Winning Team</t>
  </si>
  <si>
    <t>Day 1</t>
  </si>
  <si>
    <t>Lunch Break</t>
  </si>
  <si>
    <t>Team 5</t>
  </si>
  <si>
    <t>Team 6</t>
  </si>
  <si>
    <t>Team 5+Team 6</t>
  </si>
  <si>
    <t>Mixed Doubles</t>
  </si>
  <si>
    <t>Yukti + Niranjan</t>
  </si>
  <si>
    <t>Drishti + Sanath</t>
  </si>
  <si>
    <t>21-16</t>
  </si>
  <si>
    <t>Women's Singles</t>
  </si>
  <si>
    <t>Riya</t>
  </si>
  <si>
    <t>Neha P Jain</t>
  </si>
  <si>
    <t>7-21</t>
  </si>
  <si>
    <t>Team 4</t>
  </si>
  <si>
    <t>Team 1+Team 4</t>
  </si>
  <si>
    <t>Amrutha</t>
  </si>
  <si>
    <t>Subashree</t>
  </si>
  <si>
    <t>Team 3</t>
  </si>
  <si>
    <t>Team 3+Team 4</t>
  </si>
  <si>
    <t>Mamta</t>
  </si>
  <si>
    <t>21-19</t>
  </si>
  <si>
    <t>Team 2+Team 3</t>
  </si>
  <si>
    <t>Keerthana + Abhiram</t>
  </si>
  <si>
    <t>Rithu + Darshan Patel</t>
  </si>
  <si>
    <t>16-21</t>
  </si>
  <si>
    <t>Men's Singles 2</t>
  </si>
  <si>
    <t>Aman Doshi</t>
  </si>
  <si>
    <t>Jay B</t>
  </si>
  <si>
    <t>11-21</t>
  </si>
  <si>
    <t>Women's Doubles</t>
  </si>
  <si>
    <t>Amrutha + Neha</t>
  </si>
  <si>
    <t>Subashree + Sanjana</t>
  </si>
  <si>
    <t>Post Office Hours</t>
  </si>
  <si>
    <t>Team 4+Team 5</t>
  </si>
  <si>
    <t>21-13</t>
  </si>
  <si>
    <t>Team 3+Team 5</t>
  </si>
  <si>
    <t>Niraj Salot</t>
  </si>
  <si>
    <t>Vidwan</t>
  </si>
  <si>
    <t>Men's Doubles 1</t>
  </si>
  <si>
    <t>Shravanth + Vrishin</t>
  </si>
  <si>
    <t>Nagarajan  + Chandrashaker Joshi</t>
  </si>
  <si>
    <t>Team 2+Team 4</t>
  </si>
  <si>
    <t>Men's Doubles 2</t>
  </si>
  <si>
    <t>Yuvraj + Karthik KB</t>
  </si>
  <si>
    <t>Khush B + Hemanth</t>
  </si>
  <si>
    <t>Team 1+Team 5</t>
  </si>
  <si>
    <t>Nikhil M + Jinendar</t>
  </si>
  <si>
    <t>21-11</t>
  </si>
  <si>
    <t>Team 4+Team 6</t>
  </si>
  <si>
    <t>Neha P Jain + Drishti</t>
  </si>
  <si>
    <t>Team 1+Team 3</t>
  </si>
  <si>
    <t>Mamta + Rithu</t>
  </si>
  <si>
    <t>Day 2</t>
  </si>
  <si>
    <t>Team 3+Team 6</t>
  </si>
  <si>
    <t>Kunal D + Anirudha H</t>
  </si>
  <si>
    <t>Neha + Dhruv Jaju</t>
  </si>
  <si>
    <t>Sanjana + Bharatha S</t>
  </si>
  <si>
    <t>Men's Singles 1</t>
  </si>
  <si>
    <t>Sujal</t>
  </si>
  <si>
    <t>Naman</t>
  </si>
  <si>
    <t>Dhruv C</t>
  </si>
  <si>
    <t>Team 1+Team 6</t>
  </si>
  <si>
    <t>Sreesha + Manan</t>
  </si>
  <si>
    <t>Rohan + Bhuvanesh</t>
  </si>
  <si>
    <t>Team 2+Team 6</t>
  </si>
  <si>
    <t>Avaneesh</t>
  </si>
  <si>
    <t>Navtej</t>
  </si>
  <si>
    <t>12-21</t>
  </si>
  <si>
    <t>Anshul</t>
  </si>
  <si>
    <t>21-14</t>
  </si>
  <si>
    <t>Sarvesh H + Deviprasad</t>
  </si>
  <si>
    <t>Rohith + Darshan H</t>
  </si>
  <si>
    <t>Pavan D</t>
  </si>
  <si>
    <t>21-15</t>
  </si>
  <si>
    <t>Day 3</t>
  </si>
  <si>
    <t>Team 2+Team 5</t>
  </si>
  <si>
    <t>21-7</t>
  </si>
  <si>
    <t>Vaishnavi M</t>
  </si>
  <si>
    <t>Team 1+Team 2</t>
  </si>
  <si>
    <t>Saurabh</t>
  </si>
  <si>
    <t>Leela Sagar + Ali Akbar</t>
  </si>
  <si>
    <t>14-21</t>
  </si>
  <si>
    <t>21-9</t>
  </si>
  <si>
    <t>21-6</t>
  </si>
  <si>
    <t>Vaishnavi M + Keerthana</t>
  </si>
  <si>
    <t>Day 4</t>
  </si>
  <si>
    <t>Kushal  + Shubham</t>
  </si>
  <si>
    <t>21-12</t>
  </si>
  <si>
    <t>0-21</t>
  </si>
  <si>
    <t>22-24</t>
  </si>
  <si>
    <t>22-20</t>
  </si>
  <si>
    <t>Day 5</t>
  </si>
  <si>
    <t>Riya + Yukti</t>
  </si>
  <si>
    <t>Day 6</t>
  </si>
  <si>
    <t>17-21</t>
  </si>
  <si>
    <t>15-21</t>
  </si>
  <si>
    <t>Day 7</t>
  </si>
  <si>
    <t>4-21</t>
  </si>
  <si>
    <t>2-21</t>
  </si>
  <si>
    <t>Day 8</t>
  </si>
  <si>
    <t>21-8</t>
  </si>
  <si>
    <t>Women's Singles Scoreboard</t>
  </si>
  <si>
    <t>Ranking: format points, then raw score in this format.</t>
  </si>
  <si>
    <t>Team</t>
  </si>
  <si>
    <t>Points</t>
  </si>
  <si>
    <t>Raw Score</t>
  </si>
  <si>
    <t>Rank</t>
  </si>
  <si>
    <t>Status</t>
  </si>
  <si>
    <t>Top 4 Team</t>
  </si>
  <si>
    <t>Women's Doubles Scoreboard</t>
  </si>
  <si>
    <t>Mixed Doubles Scoreboard</t>
  </si>
  <si>
    <t>Men's Singles 1 Scoreboard</t>
  </si>
  <si>
    <t>Men's Singles 2 Scoreboard</t>
  </si>
  <si>
    <t>Men's Doubles 1 Scoreboard</t>
  </si>
  <si>
    <t>Men's Doubles 2 Scoreboard</t>
  </si>
  <si>
    <t>Tournament Format Qualifiers</t>
  </si>
  <si>
    <t>Top 4 qualify in Women's Singles, Women's Doubles and Mixed Doubles (1 vs 4, 2 vs 3). For men's events, each sub-format supplies its top 4: rank 1 of Format 1 plays rank 4 of Format 2, 2 plays 3, 3 plays 2, and 4 plays 1.</t>
  </si>
  <si>
    <t>Women's Singles — Top 4</t>
  </si>
  <si>
    <t>Player / Pair</t>
  </si>
  <si>
    <t>Source Format</t>
  </si>
  <si>
    <t>Status (Manual for Men)</t>
  </si>
  <si>
    <t>Semifinalist</t>
  </si>
  <si>
    <t>Women's Doubles — Top 4</t>
  </si>
  <si>
    <t>Mixed Doubles — Top 4</t>
  </si>
  <si>
    <t>Men's Singles — Cross-format Quarterfinals</t>
  </si>
  <si>
    <t>Match</t>
  </si>
  <si>
    <t>MS1 Rank</t>
  </si>
  <si>
    <t>Men's Singles 1 Player</t>
  </si>
  <si>
    <t>MS2 Rank</t>
  </si>
  <si>
    <t>Men's Singles 2 Player</t>
  </si>
  <si>
    <t>Quarterfinal 1</t>
  </si>
  <si>
    <t>Quarterfinal 2</t>
  </si>
  <si>
    <t>Quarterfinal 3</t>
  </si>
  <si>
    <t>Quarterfinal 4</t>
  </si>
  <si>
    <t>Men's Doubles — Cross-format Quarterfinals</t>
  </si>
  <si>
    <t>MD1 Rank</t>
  </si>
  <si>
    <t>Men's Doubles 1 Pair</t>
  </si>
  <si>
    <t>MD2 Rank</t>
  </si>
  <si>
    <t>Men's Doubles 2 Pair</t>
  </si>
  <si>
    <t>Tournament Finals — Best of Three</t>
  </si>
  <si>
    <t>Women's events use semifinals (1 vs 4, 2 vs 3). Men's quarterfinals cross the two sub-formats and remain one set. All semifinals and finals are best of three sets; first to two sets wins. Men's semifinalists are reseeded by cumulative raw score after the quarterfinals.</t>
  </si>
  <si>
    <t>Round</t>
  </si>
  <si>
    <t>Seed 1</t>
  </si>
  <si>
    <t>Competitor 1</t>
  </si>
  <si>
    <t>Set 1</t>
  </si>
  <si>
    <t>Set 2</t>
  </si>
  <si>
    <t>Set 3</t>
  </si>
  <si>
    <t>Sets Won</t>
  </si>
  <si>
    <t>Seed 2</t>
  </si>
  <si>
    <t>Competitor 2</t>
  </si>
  <si>
    <t>Cumulative Score</t>
  </si>
  <si>
    <t>Score Rank</t>
  </si>
  <si>
    <t>Semifinal 1</t>
  </si>
  <si>
    <t>Semifinal 2</t>
  </si>
  <si>
    <t>Final</t>
  </si>
  <si>
    <t>SF1 Winner</t>
  </si>
  <si>
    <t>SF2 Winner</t>
  </si>
  <si>
    <t>Men's Singles</t>
  </si>
  <si>
    <t>MS1 #1</t>
  </si>
  <si>
    <t>MS2 #4</t>
  </si>
  <si>
    <t>MS1 #2</t>
  </si>
  <si>
    <t>MS2 #3</t>
  </si>
  <si>
    <t>MS1 #3</t>
  </si>
  <si>
    <t>MS2 #2</t>
  </si>
  <si>
    <t>MS1 #4</t>
  </si>
  <si>
    <t>MS2 #1</t>
  </si>
  <si>
    <t>Men's Doubles</t>
  </si>
  <si>
    <t>MD1 #1</t>
  </si>
  <si>
    <t>MD2 #4</t>
  </si>
  <si>
    <t>MD1 #2</t>
  </si>
  <si>
    <t>MD2 #3</t>
  </si>
  <si>
    <t>MD1 #3</t>
  </si>
  <si>
    <t>MD2 #2</t>
  </si>
  <si>
    <t>MD1 #4</t>
  </si>
  <si>
    <t>MD2 #1</t>
  </si>
  <si>
    <t>Best Team — All-Format Tournament Ranking</t>
  </si>
  <si>
    <t>Scoring: 1 point per completed match win across league and knockout stages, plus 5 points per event title and 3 points per event runner-up.</t>
  </si>
  <si>
    <t>League Wins</t>
  </si>
  <si>
    <t>Knockout Wins</t>
  </si>
  <si>
    <t>Match-Win Points</t>
  </si>
  <si>
    <t>Event Titles</t>
  </si>
  <si>
    <t>Runner-Up Finishes</t>
  </si>
  <si>
    <t>Title Bonus</t>
  </si>
  <si>
    <t>Runner-Up Bonus</t>
  </si>
  <si>
    <t>Total Score</t>
  </si>
  <si>
    <t>Ranking is by Total Score; equal totals share the same rank.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</si>
</sst>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0"/>
      <color rgb="FFFFFFFF"/>
      <name val="Roboto"/>
    </font>
    <font>
      <sz val="10"/>
      <color theme="1"/>
      <name val="Roboto"/>
    </font>
    <font>
      <b/>
      <sz val="10"/>
      <color theme="1"/>
      <name val="Roboto"/>
    </font>
    <font>
      <sz val="10"/>
      <color rgb="FF244062"/>
      <name val="Roboto"/>
    </font>
    <font>
      <sz val="10"/>
      <color rgb="FF17365D"/>
      <name val="Roboto"/>
    </font>
    <font>
      <sz val="10"/>
      <color rgb="FF334155"/>
      <name val="Roboto"/>
    </font>
    <font>
      <i/>
      <sz val="10"/>
      <color rgb="FF64748B"/>
      <name val="Roboto"/>
    </font>
  </fonts>
  <fills count="1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245B85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472C4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2" fontId="3" fillId="5" borderId="1" xfId="0" quotePrefix="1" applyNumberFormat="1" applyFont="1" applyFill="1" applyBorder="1" applyAlignment="1">
      <alignment horizontal="center" vertical="center"/>
    </xf>
    <xf numFmtId="2" fontId="3" fillId="5" borderId="1" xfId="0" applyNumberFormat="1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2" fontId="3" fillId="0" borderId="1" xfId="0" quotePrefix="1" applyNumberFormat="1" applyFont="1" applyBorder="1" applyAlignment="1">
      <alignment horizontal="center" vertical="center"/>
    </xf>
    <xf numFmtId="2" fontId="2" fillId="0" borderId="0" xfId="0" applyNumberFormat="1" applyFont="1"/>
    <xf numFmtId="0" fontId="1" fillId="7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1" fontId="2" fillId="0" borderId="0" xfId="0" applyNumberFormat="1" applyFont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left" vertical="center"/>
    </xf>
    <xf numFmtId="0" fontId="3" fillId="9" borderId="0" xfId="0" applyFont="1" applyFill="1" applyAlignment="1">
      <alignment vertical="center"/>
    </xf>
    <xf numFmtId="0" fontId="3" fillId="10" borderId="0" xfId="0" applyFont="1" applyFill="1" applyAlignment="1">
      <alignment vertical="center"/>
    </xf>
    <xf numFmtId="0" fontId="1" fillId="12" borderId="2" xfId="0" applyFont="1" applyFill="1" applyBorder="1" applyAlignment="1">
      <alignment wrapText="1"/>
    </xf>
    <xf numFmtId="0" fontId="2" fillId="13" borderId="2" xfId="0" applyFont="1" applyFill="1" applyBorder="1" applyAlignment="1">
      <alignment vertical="center"/>
    </xf>
    <xf numFmtId="0" fontId="2" fillId="1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" fillId="15" borderId="0" xfId="0" applyFont="1" applyFill="1" applyAlignment="1">
      <alignment vertical="center" wrapText="1"/>
    </xf>
    <xf numFmtId="1" fontId="2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0" fontId="4" fillId="6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/>
    </xf>
    <xf numFmtId="0" fontId="6" fillId="11" borderId="0" xfId="0" applyFont="1" applyFill="1" applyAlignment="1">
      <alignment wrapText="1"/>
    </xf>
    <xf numFmtId="0" fontId="6" fillId="14" borderId="0" xfId="0" applyFont="1" applyFill="1" applyAlignment="1">
      <alignment vertical="center" wrapText="1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22"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duca-my.sharepoint.com/personal/akshiththolakpalli_sdu_works/Documents/2026-27/TT%20Tournament/TT-Score%20Card.xlsx" TargetMode="External"/><Relationship Id="rId1" Type="http://schemas.openxmlformats.org/officeDocument/2006/relationships/externalLinkPath" Target="https://sduca-my.sharepoint.com/personal/akshiththolakpalli_sdu_works/Documents/2026-27/TT%20Tournament/TT-Score%20C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uffled Matches"/>
      <sheetName val="Standings"/>
      <sheetName val="Format Scoreboards"/>
      <sheetName val="Qualification Data"/>
      <sheetName val="Qualifiers"/>
      <sheetName val="Finals"/>
      <sheetName val="Best Team Ranking"/>
    </sheetNames>
    <sheetDataSet>
      <sheetData sheetId="0"/>
      <sheetData sheetId="1"/>
      <sheetData sheetId="2"/>
      <sheetData sheetId="3"/>
      <sheetData sheetId="4">
        <row r="2">
          <cell r="B2" t="str">
            <v>Women's Singles</v>
          </cell>
          <cell r="C2" t="str">
            <v>Team 1</v>
          </cell>
          <cell r="D2" t="str">
            <v>Amrutha</v>
          </cell>
          <cell r="E2">
            <v>0</v>
          </cell>
          <cell r="F2">
            <v>0</v>
          </cell>
          <cell r="G2">
            <v>6</v>
          </cell>
        </row>
        <row r="3">
          <cell r="B3" t="str">
            <v>Women's Singles</v>
          </cell>
          <cell r="C3" t="str">
            <v>Team 2</v>
          </cell>
          <cell r="D3" t="str">
            <v>Vaishnavi M</v>
          </cell>
          <cell r="E3">
            <v>2</v>
          </cell>
          <cell r="F3">
            <v>42</v>
          </cell>
          <cell r="G3">
            <v>2</v>
          </cell>
        </row>
        <row r="4">
          <cell r="B4" t="str">
            <v>Women's Singles</v>
          </cell>
          <cell r="C4" t="str">
            <v>Team 3</v>
          </cell>
          <cell r="D4" t="str">
            <v>Mamta</v>
          </cell>
          <cell r="E4">
            <v>1</v>
          </cell>
          <cell r="F4">
            <v>47</v>
          </cell>
          <cell r="G4">
            <v>4</v>
          </cell>
        </row>
        <row r="5">
          <cell r="B5" t="str">
            <v>Women's Singles</v>
          </cell>
          <cell r="C5" t="str">
            <v>Team 4</v>
          </cell>
          <cell r="D5" t="str">
            <v>Subashree</v>
          </cell>
          <cell r="E5">
            <v>1</v>
          </cell>
          <cell r="F5">
            <v>76</v>
          </cell>
          <cell r="G5">
            <v>3</v>
          </cell>
        </row>
        <row r="6">
          <cell r="B6" t="str">
            <v>Women's Singles</v>
          </cell>
          <cell r="C6" t="str">
            <v>Team 5</v>
          </cell>
          <cell r="D6" t="str">
            <v>Riya</v>
          </cell>
          <cell r="E6">
            <v>0</v>
          </cell>
          <cell r="F6">
            <v>20</v>
          </cell>
          <cell r="G6">
            <v>5</v>
          </cell>
        </row>
        <row r="7">
          <cell r="B7" t="str">
            <v>Women's Singles</v>
          </cell>
          <cell r="C7" t="str">
            <v>Team 6</v>
          </cell>
          <cell r="D7" t="str">
            <v>Neha P Jain</v>
          </cell>
          <cell r="E7">
            <v>3</v>
          </cell>
          <cell r="F7">
            <v>63</v>
          </cell>
          <cell r="G7">
            <v>1</v>
          </cell>
        </row>
        <row r="9">
          <cell r="B9" t="str">
            <v>Women's Doubles</v>
          </cell>
          <cell r="C9" t="str">
            <v>Team 1</v>
          </cell>
          <cell r="D9" t="str">
            <v>Amrutha + Neha</v>
          </cell>
          <cell r="E9">
            <v>0</v>
          </cell>
          <cell r="F9">
            <v>0</v>
          </cell>
          <cell r="G9">
            <v>1</v>
          </cell>
        </row>
        <row r="10">
          <cell r="B10" t="str">
            <v>Women's Doubles</v>
          </cell>
          <cell r="C10" t="str">
            <v>Team 2</v>
          </cell>
          <cell r="D10" t="str">
            <v>Vaishnavi M + Keerthana</v>
          </cell>
          <cell r="E10">
            <v>0</v>
          </cell>
          <cell r="F10">
            <v>0</v>
          </cell>
          <cell r="G10">
            <v>2</v>
          </cell>
        </row>
        <row r="11">
          <cell r="B11" t="str">
            <v>Women's Doubles</v>
          </cell>
          <cell r="C11" t="str">
            <v>Team 3</v>
          </cell>
          <cell r="D11" t="str">
            <v>Mamta + Rithu</v>
          </cell>
          <cell r="E11">
            <v>0</v>
          </cell>
          <cell r="F11">
            <v>0</v>
          </cell>
          <cell r="G11">
            <v>3</v>
          </cell>
        </row>
        <row r="12">
          <cell r="B12" t="str">
            <v>Women's Doubles</v>
          </cell>
          <cell r="C12" t="str">
            <v>Team 4</v>
          </cell>
          <cell r="D12" t="str">
            <v>Subashree + Sanjana</v>
          </cell>
          <cell r="E12">
            <v>0</v>
          </cell>
          <cell r="F12">
            <v>0</v>
          </cell>
          <cell r="G12">
            <v>4</v>
          </cell>
        </row>
        <row r="13">
          <cell r="B13" t="str">
            <v>Women's Doubles</v>
          </cell>
          <cell r="C13" t="str">
            <v>Team 5</v>
          </cell>
          <cell r="D13" t="str">
            <v>Riya + Yukti</v>
          </cell>
          <cell r="E13">
            <v>0</v>
          </cell>
          <cell r="F13">
            <v>0</v>
          </cell>
          <cell r="G13">
            <v>5</v>
          </cell>
        </row>
        <row r="14">
          <cell r="B14" t="str">
            <v>Women's Doubles</v>
          </cell>
          <cell r="C14" t="str">
            <v>Team 6</v>
          </cell>
          <cell r="D14" t="str">
            <v>Neha P Jain + Drishti</v>
          </cell>
          <cell r="E14">
            <v>0</v>
          </cell>
          <cell r="F14">
            <v>0</v>
          </cell>
          <cell r="G14">
            <v>6</v>
          </cell>
        </row>
        <row r="16">
          <cell r="B16" t="str">
            <v>Mixed Doubles</v>
          </cell>
          <cell r="C16" t="str">
            <v>Team 1</v>
          </cell>
          <cell r="D16" t="str">
            <v>Neha + Dhruv Jaju</v>
          </cell>
          <cell r="E16">
            <v>0</v>
          </cell>
          <cell r="F16">
            <v>16</v>
          </cell>
          <cell r="G16">
            <v>5</v>
          </cell>
        </row>
        <row r="17">
          <cell r="B17" t="str">
            <v>Mixed Doubles</v>
          </cell>
          <cell r="C17" t="str">
            <v>Team 2</v>
          </cell>
          <cell r="D17" t="str">
            <v>Keerthana + Abhiram</v>
          </cell>
          <cell r="E17">
            <v>2</v>
          </cell>
          <cell r="F17">
            <v>58</v>
          </cell>
          <cell r="G17">
            <v>2</v>
          </cell>
        </row>
        <row r="18">
          <cell r="B18" t="str">
            <v>Mixed Doubles</v>
          </cell>
          <cell r="C18" t="str">
            <v>Team 3</v>
          </cell>
          <cell r="D18" t="str">
            <v>Rithu + Darshan Patel</v>
          </cell>
          <cell r="E18">
            <v>3</v>
          </cell>
          <cell r="F18">
            <v>63</v>
          </cell>
          <cell r="G18">
            <v>1</v>
          </cell>
        </row>
        <row r="19">
          <cell r="B19" t="str">
            <v>Mixed Doubles</v>
          </cell>
          <cell r="C19" t="str">
            <v>Team 4</v>
          </cell>
          <cell r="D19" t="str">
            <v>Sanjana + Bharatha S</v>
          </cell>
          <cell r="E19">
            <v>0</v>
          </cell>
          <cell r="F19">
            <v>16</v>
          </cell>
          <cell r="G19">
            <v>6</v>
          </cell>
        </row>
        <row r="20">
          <cell r="B20" t="str">
            <v>Mixed Doubles</v>
          </cell>
          <cell r="C20" t="str">
            <v>Team 5</v>
          </cell>
          <cell r="D20" t="str">
            <v>Yukti + Niranjan</v>
          </cell>
          <cell r="E20">
            <v>1</v>
          </cell>
          <cell r="F20">
            <v>32</v>
          </cell>
          <cell r="G20">
            <v>3</v>
          </cell>
        </row>
        <row r="21">
          <cell r="B21" t="str">
            <v>Mixed Doubles</v>
          </cell>
          <cell r="C21" t="str">
            <v>Team 6</v>
          </cell>
          <cell r="D21" t="str">
            <v>Drishti + Sanath</v>
          </cell>
          <cell r="E21">
            <v>0</v>
          </cell>
          <cell r="F21">
            <v>30</v>
          </cell>
          <cell r="G21">
            <v>4</v>
          </cell>
        </row>
        <row r="23">
          <cell r="B23" t="str">
            <v>Men's Singles 1</v>
          </cell>
          <cell r="C23" t="str">
            <v>Team 1</v>
          </cell>
          <cell r="D23" t="str">
            <v>Saurabh</v>
          </cell>
          <cell r="F23">
            <v>47</v>
          </cell>
          <cell r="G23">
            <v>4</v>
          </cell>
        </row>
        <row r="24">
          <cell r="B24" t="str">
            <v>Men's Singles 1</v>
          </cell>
          <cell r="C24" t="str">
            <v>Team 2</v>
          </cell>
          <cell r="D24" t="str">
            <v>Dhruv C</v>
          </cell>
          <cell r="F24">
            <v>30</v>
          </cell>
          <cell r="G24">
            <v>5</v>
          </cell>
        </row>
        <row r="25">
          <cell r="B25" t="str">
            <v>Men's Singles 1</v>
          </cell>
          <cell r="C25" t="str">
            <v>Team 3</v>
          </cell>
          <cell r="D25" t="str">
            <v>Sujal</v>
          </cell>
          <cell r="F25">
            <v>77</v>
          </cell>
          <cell r="G25">
            <v>1</v>
          </cell>
        </row>
        <row r="26">
          <cell r="B26" t="str">
            <v>Men's Singles 1</v>
          </cell>
          <cell r="C26" t="str">
            <v>Team 4</v>
          </cell>
          <cell r="D26" t="str">
            <v>Naman</v>
          </cell>
          <cell r="F26">
            <v>0</v>
          </cell>
          <cell r="G26">
            <v>6</v>
          </cell>
        </row>
        <row r="27">
          <cell r="B27" t="str">
            <v>Men's Singles 1</v>
          </cell>
          <cell r="C27" t="str">
            <v>Team 5</v>
          </cell>
          <cell r="D27" t="str">
            <v>Pavan D</v>
          </cell>
          <cell r="F27">
            <v>42</v>
          </cell>
          <cell r="G27">
            <v>2</v>
          </cell>
        </row>
        <row r="28">
          <cell r="B28" t="str">
            <v>Men's Singles 1</v>
          </cell>
          <cell r="C28" t="str">
            <v>Team 6</v>
          </cell>
          <cell r="D28" t="str">
            <v>Anshul</v>
          </cell>
          <cell r="F28">
            <v>52</v>
          </cell>
          <cell r="G28">
            <v>3</v>
          </cell>
        </row>
        <row r="29">
          <cell r="B29" t="str">
            <v>Men's Singles 2</v>
          </cell>
          <cell r="C29" t="str">
            <v>Team 1</v>
          </cell>
          <cell r="D29" t="str">
            <v>Aman Doshi</v>
          </cell>
          <cell r="F29">
            <v>32</v>
          </cell>
          <cell r="G29">
            <v>4</v>
          </cell>
        </row>
        <row r="30">
          <cell r="B30" t="str">
            <v>Men's Singles 2</v>
          </cell>
          <cell r="C30" t="str">
            <v>Team 2</v>
          </cell>
          <cell r="D30" t="str">
            <v>Avaneesh</v>
          </cell>
          <cell r="F30">
            <v>32</v>
          </cell>
          <cell r="G30">
            <v>6</v>
          </cell>
        </row>
        <row r="31">
          <cell r="B31" t="str">
            <v>Men's Singles 2</v>
          </cell>
          <cell r="C31" t="str">
            <v>Team 3</v>
          </cell>
          <cell r="D31" t="str">
            <v>Niraj Salot</v>
          </cell>
          <cell r="F31">
            <v>32</v>
          </cell>
          <cell r="G31">
            <v>4</v>
          </cell>
        </row>
        <row r="32">
          <cell r="B32" t="str">
            <v>Men's Singles 2</v>
          </cell>
          <cell r="C32" t="str">
            <v>Team 4</v>
          </cell>
          <cell r="D32" t="str">
            <v>Jay B</v>
          </cell>
          <cell r="F32">
            <v>84</v>
          </cell>
          <cell r="G32">
            <v>1</v>
          </cell>
        </row>
        <row r="33">
          <cell r="B33" t="str">
            <v>Men's Singles 2</v>
          </cell>
          <cell r="C33" t="str">
            <v>Team 5</v>
          </cell>
          <cell r="D33" t="str">
            <v>Vidwan</v>
          </cell>
          <cell r="F33">
            <v>76</v>
          </cell>
          <cell r="G33">
            <v>2</v>
          </cell>
        </row>
        <row r="34">
          <cell r="B34" t="str">
            <v>Men's Singles 2</v>
          </cell>
          <cell r="C34" t="str">
            <v>Team 6</v>
          </cell>
          <cell r="D34" t="str">
            <v>Navtej</v>
          </cell>
          <cell r="F34">
            <v>36</v>
          </cell>
          <cell r="G34">
            <v>3</v>
          </cell>
        </row>
        <row r="36">
          <cell r="B36" t="str">
            <v>Men's Doubles 1</v>
          </cell>
          <cell r="C36" t="str">
            <v>Team 1</v>
          </cell>
          <cell r="D36" t="str">
            <v>Nikhil M + Jinendar</v>
          </cell>
          <cell r="F36">
            <v>51</v>
          </cell>
          <cell r="G36">
            <v>3</v>
          </cell>
        </row>
        <row r="37">
          <cell r="B37" t="str">
            <v>Men's Doubles 1</v>
          </cell>
          <cell r="C37" t="str">
            <v>Team 2</v>
          </cell>
          <cell r="D37" t="str">
            <v>Kushal + Shubham</v>
          </cell>
          <cell r="F37">
            <v>21</v>
          </cell>
          <cell r="G37">
            <v>4</v>
          </cell>
        </row>
        <row r="38">
          <cell r="B38" t="str">
            <v>Men's Doubles 1</v>
          </cell>
          <cell r="C38" t="str">
            <v>Team 3</v>
          </cell>
          <cell r="D38" t="str">
            <v>Kunal D + Anirudha H</v>
          </cell>
          <cell r="F38">
            <v>63</v>
          </cell>
          <cell r="G38">
            <v>1</v>
          </cell>
        </row>
        <row r="39">
          <cell r="B39" t="str">
            <v>Men's Doubles 1</v>
          </cell>
          <cell r="C39" t="str">
            <v>Team 4</v>
          </cell>
          <cell r="D39" t="str">
            <v>Leela Sagar + Ali Akbar</v>
          </cell>
          <cell r="F39">
            <v>61</v>
          </cell>
          <cell r="G39">
            <v>2</v>
          </cell>
        </row>
        <row r="40">
          <cell r="B40" t="str">
            <v>Men's Doubles 1</v>
          </cell>
          <cell r="C40" t="str">
            <v>Team 5</v>
          </cell>
          <cell r="D40" t="str">
            <v>Shravanth + Vrishin</v>
          </cell>
          <cell r="F40">
            <v>45</v>
          </cell>
          <cell r="G40">
            <v>5</v>
          </cell>
        </row>
        <row r="41">
          <cell r="B41" t="str">
            <v>Men's Doubles 1</v>
          </cell>
          <cell r="C41" t="str">
            <v>Team 6</v>
          </cell>
          <cell r="D41" t="str">
            <v>Nagarajan + Chandrashaker Joshi</v>
          </cell>
          <cell r="F41">
            <v>0</v>
          </cell>
          <cell r="G41">
            <v>6</v>
          </cell>
        </row>
        <row r="42">
          <cell r="B42" t="str">
            <v>Men's Doubles 2</v>
          </cell>
          <cell r="C42" t="str">
            <v>Team 1</v>
          </cell>
          <cell r="D42" t="str">
            <v>Sreesha + Manan</v>
          </cell>
          <cell r="F42">
            <v>33</v>
          </cell>
          <cell r="G42">
            <v>5</v>
          </cell>
        </row>
        <row r="43">
          <cell r="B43" t="str">
            <v>Men's Doubles 2</v>
          </cell>
          <cell r="C43" t="str">
            <v>Team 2</v>
          </cell>
          <cell r="D43" t="str">
            <v>Yuvraj + Karthik KB</v>
          </cell>
          <cell r="F43">
            <v>36</v>
          </cell>
          <cell r="G43">
            <v>4</v>
          </cell>
        </row>
        <row r="44">
          <cell r="B44" t="str">
            <v>Men's Doubles 2</v>
          </cell>
          <cell r="C44" t="str">
            <v>Team 3</v>
          </cell>
          <cell r="D44" t="str">
            <v>Sarvesh H + Deviprasad</v>
          </cell>
          <cell r="F44">
            <v>83</v>
          </cell>
          <cell r="G44">
            <v>1</v>
          </cell>
        </row>
        <row r="45">
          <cell r="B45" t="str">
            <v>Men's Doubles 2</v>
          </cell>
          <cell r="C45" t="str">
            <v>Team 4</v>
          </cell>
          <cell r="D45" t="str">
            <v>Khush B + Hemanth</v>
          </cell>
          <cell r="F45">
            <v>78</v>
          </cell>
          <cell r="G45">
            <v>3</v>
          </cell>
        </row>
        <row r="46">
          <cell r="B46" t="str">
            <v>Men's Doubles 2</v>
          </cell>
          <cell r="C46" t="str">
            <v>Team 5</v>
          </cell>
          <cell r="D46" t="str">
            <v>Rohith + Darshan H</v>
          </cell>
          <cell r="F46">
            <v>22</v>
          </cell>
          <cell r="G46">
            <v>6</v>
          </cell>
        </row>
        <row r="47">
          <cell r="B47" t="str">
            <v>Men's Doubles 2</v>
          </cell>
          <cell r="C47" t="str">
            <v>Team 6</v>
          </cell>
          <cell r="D47" t="str">
            <v>Rohan + Bhuvanesh</v>
          </cell>
          <cell r="F47">
            <v>63</v>
          </cell>
          <cell r="G47">
            <v>2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97C3-D585-46C8-B775-56B5DE308967}">
  <sheetPr>
    <pageSetUpPr fitToPage="1"/>
  </sheetPr>
  <dimension ref="B2:L112"/>
  <sheetViews>
    <sheetView showGridLines="0" tabSelected="1" zoomScale="74" zoomScaleNormal="74" workbookViewId="0">
      <pane ySplit="2" topLeftCell="A121" activePane="bottomLeft" state="frozen"/>
      <selection pane="bottomLeft" activeCell="N16" sqref="N16"/>
    </sheetView>
  </sheetViews>
  <sheetFormatPr baseColWidth="10" defaultColWidth="8.6640625" defaultRowHeight="12" x14ac:dyDescent="0.15"/>
  <cols>
    <col min="1" max="1" width="3.5" style="4" customWidth="1"/>
    <col min="2" max="2" width="10.5" style="4" bestFit="1" customWidth="1"/>
    <col min="3" max="3" width="15.6640625" style="4" bestFit="1" customWidth="1"/>
    <col min="4" max="5" width="13.5" style="4" bestFit="1" customWidth="1"/>
    <col min="6" max="6" width="14.33203125" style="4" hidden="1" customWidth="1"/>
    <col min="7" max="7" width="15.83203125" style="4" bestFit="1" customWidth="1"/>
    <col min="8" max="8" width="21.5" style="4" bestFit="1" customWidth="1"/>
    <col min="9" max="9" width="29.6640625" style="4" bestFit="1" customWidth="1"/>
    <col min="10" max="10" width="20.6640625" style="4" bestFit="1" customWidth="1"/>
    <col min="11" max="11" width="17.83203125" style="11" bestFit="1" customWidth="1"/>
    <col min="12" max="12" width="19.1640625" style="4" bestFit="1" customWidth="1"/>
    <col min="13" max="16384" width="8.6640625" style="4"/>
  </cols>
  <sheetData>
    <row r="2" spans="2:12" ht="26" x14ac:dyDescent="0.1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3" t="s">
        <v>9</v>
      </c>
      <c r="L2" s="2" t="s">
        <v>10</v>
      </c>
    </row>
    <row r="3" spans="2:12" x14ac:dyDescent="0.15">
      <c r="B3" s="5" t="s">
        <v>11</v>
      </c>
      <c r="C3" s="5" t="s">
        <v>12</v>
      </c>
      <c r="D3" s="5" t="s">
        <v>13</v>
      </c>
      <c r="E3" s="5" t="s">
        <v>14</v>
      </c>
      <c r="F3" s="5" t="s">
        <v>15</v>
      </c>
      <c r="G3" s="5" t="s">
        <v>16</v>
      </c>
      <c r="H3" s="5" t="s">
        <v>17</v>
      </c>
      <c r="I3" s="5" t="s">
        <v>18</v>
      </c>
      <c r="J3" s="6" t="str">
        <f>IF(K3="","",IFERROR(IF(--_xlfn.TEXTBEFORE(K3,"-")&gt;--_xlfn.TEXTAFTER(K3,"-"),H3,IF(--_xlfn.TEXTAFTER(K3,"-")&gt;--_xlfn.TEXTBEFORE(K3,"-"),I3,"Tie")),"Check score"))</f>
        <v>Yukti + Niranjan</v>
      </c>
      <c r="K3" s="7" t="s">
        <v>19</v>
      </c>
      <c r="L3" s="6" t="str">
        <f t="shared" ref="L3:L66" si="0">IF(K3="","",IFERROR(IF(--_xlfn.TEXTBEFORE(K3,"-")&gt;--_xlfn.TEXTAFTER(K3,"-"),D3,IF(--_xlfn.TEXTAFTER(K3,"-")&gt;--_xlfn.TEXTBEFORE(K3,"-"),E3,"Tie")),"Check score"))</f>
        <v>Team 5</v>
      </c>
    </row>
    <row r="4" spans="2:12" x14ac:dyDescent="0.15"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20</v>
      </c>
      <c r="H4" s="5" t="s">
        <v>21</v>
      </c>
      <c r="I4" s="5" t="s">
        <v>22</v>
      </c>
      <c r="J4" s="6" t="str">
        <f t="shared" ref="J4:J67" si="1">IF(K4="","",IFERROR(IF(--_xlfn.TEXTBEFORE(K4,"-")&gt;--_xlfn.TEXTAFTER(K4,"-"),H4,IF(--_xlfn.TEXTAFTER(K4,"-")&gt;--_xlfn.TEXTBEFORE(K4,"-"),I4,"Tie")),"Check score"))</f>
        <v>Neha P Jain</v>
      </c>
      <c r="K4" s="7" t="s">
        <v>23</v>
      </c>
      <c r="L4" s="6" t="str">
        <f t="shared" si="0"/>
        <v>Team 6</v>
      </c>
    </row>
    <row r="5" spans="2:12" x14ac:dyDescent="0.15">
      <c r="B5" s="5" t="s">
        <v>11</v>
      </c>
      <c r="C5" s="5" t="s">
        <v>12</v>
      </c>
      <c r="D5" s="5" t="s">
        <v>2</v>
      </c>
      <c r="E5" s="5" t="s">
        <v>24</v>
      </c>
      <c r="F5" s="5" t="s">
        <v>25</v>
      </c>
      <c r="G5" s="5" t="s">
        <v>20</v>
      </c>
      <c r="H5" s="5" t="s">
        <v>26</v>
      </c>
      <c r="I5" s="5" t="s">
        <v>27</v>
      </c>
      <c r="J5" s="6" t="str">
        <f t="shared" si="1"/>
        <v/>
      </c>
      <c r="K5" s="7"/>
      <c r="L5" s="6" t="str">
        <f t="shared" si="0"/>
        <v/>
      </c>
    </row>
    <row r="6" spans="2:12" x14ac:dyDescent="0.15">
      <c r="B6" s="5" t="s">
        <v>11</v>
      </c>
      <c r="C6" s="5" t="s">
        <v>12</v>
      </c>
      <c r="D6" s="5" t="s">
        <v>28</v>
      </c>
      <c r="E6" s="5" t="s">
        <v>24</v>
      </c>
      <c r="F6" s="5" t="s">
        <v>29</v>
      </c>
      <c r="G6" s="5" t="s">
        <v>20</v>
      </c>
      <c r="H6" s="5" t="s">
        <v>30</v>
      </c>
      <c r="I6" s="5" t="s">
        <v>27</v>
      </c>
      <c r="J6" s="6" t="str">
        <f t="shared" si="1"/>
        <v>Mamta</v>
      </c>
      <c r="K6" s="7" t="s">
        <v>31</v>
      </c>
      <c r="L6" s="6" t="str">
        <f t="shared" si="0"/>
        <v>Team 3</v>
      </c>
    </row>
    <row r="7" spans="2:12" x14ac:dyDescent="0.15">
      <c r="B7" s="5" t="s">
        <v>11</v>
      </c>
      <c r="C7" s="5" t="s">
        <v>12</v>
      </c>
      <c r="D7" s="5" t="s">
        <v>3</v>
      </c>
      <c r="E7" s="5" t="s">
        <v>28</v>
      </c>
      <c r="F7" s="5" t="s">
        <v>32</v>
      </c>
      <c r="G7" s="5" t="s">
        <v>16</v>
      </c>
      <c r="H7" s="5" t="s">
        <v>33</v>
      </c>
      <c r="I7" s="5" t="s">
        <v>34</v>
      </c>
      <c r="J7" s="6" t="str">
        <f t="shared" si="1"/>
        <v>Rithu + Darshan Patel</v>
      </c>
      <c r="K7" s="7" t="s">
        <v>35</v>
      </c>
      <c r="L7" s="6" t="str">
        <f t="shared" si="0"/>
        <v>Team 3</v>
      </c>
    </row>
    <row r="8" spans="2:12" x14ac:dyDescent="0.15">
      <c r="B8" s="5" t="s">
        <v>11</v>
      </c>
      <c r="C8" s="5" t="s">
        <v>12</v>
      </c>
      <c r="D8" s="5" t="s">
        <v>2</v>
      </c>
      <c r="E8" s="5" t="s">
        <v>24</v>
      </c>
      <c r="F8" s="5" t="s">
        <v>25</v>
      </c>
      <c r="G8" s="5" t="s">
        <v>36</v>
      </c>
      <c r="H8" s="5" t="s">
        <v>37</v>
      </c>
      <c r="I8" s="5" t="s">
        <v>38</v>
      </c>
      <c r="J8" s="6" t="str">
        <f t="shared" si="1"/>
        <v>Jay B</v>
      </c>
      <c r="K8" s="7" t="s">
        <v>39</v>
      </c>
      <c r="L8" s="6" t="str">
        <f t="shared" si="0"/>
        <v>Team 4</v>
      </c>
    </row>
    <row r="9" spans="2:12" x14ac:dyDescent="0.15">
      <c r="B9" s="5" t="s">
        <v>11</v>
      </c>
      <c r="C9" s="5" t="s">
        <v>12</v>
      </c>
      <c r="D9" s="5" t="s">
        <v>2</v>
      </c>
      <c r="E9" s="5" t="s">
        <v>24</v>
      </c>
      <c r="F9" s="5" t="s">
        <v>25</v>
      </c>
      <c r="G9" s="5" t="s">
        <v>40</v>
      </c>
      <c r="H9" s="5" t="s">
        <v>41</v>
      </c>
      <c r="I9" s="5" t="s">
        <v>42</v>
      </c>
      <c r="J9" s="6" t="str">
        <f t="shared" si="1"/>
        <v/>
      </c>
      <c r="K9" s="7"/>
      <c r="L9" s="6" t="str">
        <f t="shared" si="0"/>
        <v/>
      </c>
    </row>
    <row r="10" spans="2:12" x14ac:dyDescent="0.15">
      <c r="B10" s="5" t="s">
        <v>11</v>
      </c>
      <c r="C10" s="5" t="s">
        <v>43</v>
      </c>
      <c r="D10" s="5" t="s">
        <v>24</v>
      </c>
      <c r="E10" s="5" t="s">
        <v>13</v>
      </c>
      <c r="F10" s="5" t="s">
        <v>44</v>
      </c>
      <c r="G10" s="5" t="s">
        <v>20</v>
      </c>
      <c r="H10" s="5" t="s">
        <v>27</v>
      </c>
      <c r="I10" s="5" t="s">
        <v>21</v>
      </c>
      <c r="J10" s="6" t="str">
        <f t="shared" si="1"/>
        <v>Subashree</v>
      </c>
      <c r="K10" s="7" t="s">
        <v>45</v>
      </c>
      <c r="L10" s="6" t="str">
        <f t="shared" si="0"/>
        <v>Team 4</v>
      </c>
    </row>
    <row r="11" spans="2:12" x14ac:dyDescent="0.15">
      <c r="B11" s="5" t="s">
        <v>11</v>
      </c>
      <c r="C11" s="5" t="s">
        <v>43</v>
      </c>
      <c r="D11" s="5" t="s">
        <v>28</v>
      </c>
      <c r="E11" s="5" t="s">
        <v>13</v>
      </c>
      <c r="F11" s="5" t="s">
        <v>46</v>
      </c>
      <c r="G11" s="5" t="s">
        <v>36</v>
      </c>
      <c r="H11" s="5" t="s">
        <v>47</v>
      </c>
      <c r="I11" s="5" t="s">
        <v>48</v>
      </c>
      <c r="J11" s="6" t="str">
        <f t="shared" si="1"/>
        <v>Vidwan</v>
      </c>
      <c r="K11" s="7" t="s">
        <v>39</v>
      </c>
      <c r="L11" s="6" t="str">
        <f t="shared" si="0"/>
        <v>Team 5</v>
      </c>
    </row>
    <row r="12" spans="2:12" x14ac:dyDescent="0.15">
      <c r="B12" s="5" t="s">
        <v>11</v>
      </c>
      <c r="C12" s="5" t="s">
        <v>43</v>
      </c>
      <c r="D12" s="5" t="s">
        <v>13</v>
      </c>
      <c r="E12" s="5" t="s">
        <v>14</v>
      </c>
      <c r="F12" s="5" t="s">
        <v>15</v>
      </c>
      <c r="G12" s="5" t="s">
        <v>49</v>
      </c>
      <c r="H12" s="5" t="s">
        <v>50</v>
      </c>
      <c r="I12" s="5" t="s">
        <v>51</v>
      </c>
      <c r="J12" s="6" t="str">
        <f t="shared" si="1"/>
        <v/>
      </c>
      <c r="K12" s="7"/>
      <c r="L12" s="6" t="str">
        <f t="shared" si="0"/>
        <v/>
      </c>
    </row>
    <row r="13" spans="2:12" x14ac:dyDescent="0.15">
      <c r="B13" s="5" t="s">
        <v>11</v>
      </c>
      <c r="C13" s="5" t="s">
        <v>43</v>
      </c>
      <c r="D13" s="5" t="s">
        <v>3</v>
      </c>
      <c r="E13" s="5" t="s">
        <v>24</v>
      </c>
      <c r="F13" s="5" t="s">
        <v>52</v>
      </c>
      <c r="G13" s="5" t="s">
        <v>53</v>
      </c>
      <c r="H13" s="5" t="s">
        <v>54</v>
      </c>
      <c r="I13" s="5" t="s">
        <v>55</v>
      </c>
      <c r="J13" s="6" t="str">
        <f t="shared" si="1"/>
        <v>Yuvraj + Karthik KB</v>
      </c>
      <c r="K13" s="7" t="s">
        <v>19</v>
      </c>
      <c r="L13" s="6" t="str">
        <f t="shared" si="0"/>
        <v>Team 2</v>
      </c>
    </row>
    <row r="14" spans="2:12" x14ac:dyDescent="0.15">
      <c r="B14" s="5" t="s">
        <v>11</v>
      </c>
      <c r="C14" s="5" t="s">
        <v>43</v>
      </c>
      <c r="D14" s="5" t="s">
        <v>2</v>
      </c>
      <c r="E14" s="5" t="s">
        <v>13</v>
      </c>
      <c r="F14" s="5" t="s">
        <v>56</v>
      </c>
      <c r="G14" s="5" t="s">
        <v>49</v>
      </c>
      <c r="H14" s="5" t="s">
        <v>57</v>
      </c>
      <c r="I14" s="5" t="s">
        <v>50</v>
      </c>
      <c r="J14" s="6" t="str">
        <f t="shared" si="1"/>
        <v>Nikhil M + Jinendar</v>
      </c>
      <c r="K14" s="7" t="s">
        <v>58</v>
      </c>
      <c r="L14" s="6" t="str">
        <f t="shared" si="0"/>
        <v>Team 1</v>
      </c>
    </row>
    <row r="15" spans="2:12" x14ac:dyDescent="0.15">
      <c r="B15" s="5" t="s">
        <v>11</v>
      </c>
      <c r="C15" s="5" t="s">
        <v>43</v>
      </c>
      <c r="D15" s="5" t="s">
        <v>24</v>
      </c>
      <c r="E15" s="5" t="s">
        <v>14</v>
      </c>
      <c r="F15" s="5" t="s">
        <v>59</v>
      </c>
      <c r="G15" s="5" t="s">
        <v>40</v>
      </c>
      <c r="H15" s="5" t="s">
        <v>42</v>
      </c>
      <c r="I15" s="5" t="s">
        <v>60</v>
      </c>
      <c r="J15" s="6" t="str">
        <f t="shared" si="1"/>
        <v/>
      </c>
      <c r="K15" s="7"/>
      <c r="L15" s="6" t="str">
        <f t="shared" si="0"/>
        <v/>
      </c>
    </row>
    <row r="16" spans="2:12" x14ac:dyDescent="0.15">
      <c r="B16" s="5" t="s">
        <v>11</v>
      </c>
      <c r="C16" s="5" t="s">
        <v>43</v>
      </c>
      <c r="D16" s="5" t="s">
        <v>2</v>
      </c>
      <c r="E16" s="5" t="s">
        <v>28</v>
      </c>
      <c r="F16" s="5" t="s">
        <v>61</v>
      </c>
      <c r="G16" s="5" t="s">
        <v>40</v>
      </c>
      <c r="H16" s="5" t="s">
        <v>41</v>
      </c>
      <c r="I16" s="5" t="s">
        <v>62</v>
      </c>
      <c r="J16" s="6" t="str">
        <f t="shared" si="1"/>
        <v/>
      </c>
      <c r="K16" s="7"/>
      <c r="L16" s="6" t="str">
        <f t="shared" si="0"/>
        <v/>
      </c>
    </row>
    <row r="17" spans="2:12" x14ac:dyDescent="0.15">
      <c r="B17" s="5" t="s">
        <v>63</v>
      </c>
      <c r="C17" s="5" t="s">
        <v>12</v>
      </c>
      <c r="D17" s="5" t="s">
        <v>28</v>
      </c>
      <c r="E17" s="5" t="s">
        <v>14</v>
      </c>
      <c r="F17" s="5" t="s">
        <v>64</v>
      </c>
      <c r="G17" s="5" t="s">
        <v>49</v>
      </c>
      <c r="H17" s="5" t="s">
        <v>65</v>
      </c>
      <c r="I17" s="5" t="s">
        <v>51</v>
      </c>
      <c r="J17" s="6" t="str">
        <f t="shared" si="1"/>
        <v/>
      </c>
      <c r="K17" s="7"/>
      <c r="L17" s="6" t="str">
        <f t="shared" si="0"/>
        <v/>
      </c>
    </row>
    <row r="18" spans="2:12" x14ac:dyDescent="0.15">
      <c r="B18" s="5" t="s">
        <v>63</v>
      </c>
      <c r="C18" s="5" t="s">
        <v>12</v>
      </c>
      <c r="D18" s="5" t="s">
        <v>2</v>
      </c>
      <c r="E18" s="5" t="s">
        <v>24</v>
      </c>
      <c r="F18" s="5" t="s">
        <v>25</v>
      </c>
      <c r="G18" s="5" t="s">
        <v>16</v>
      </c>
      <c r="H18" s="5" t="s">
        <v>66</v>
      </c>
      <c r="I18" s="5" t="s">
        <v>67</v>
      </c>
      <c r="J18" s="6" t="str">
        <f t="shared" si="1"/>
        <v/>
      </c>
      <c r="K18" s="7"/>
      <c r="L18" s="6" t="str">
        <f t="shared" si="0"/>
        <v/>
      </c>
    </row>
    <row r="19" spans="2:12" x14ac:dyDescent="0.15">
      <c r="B19" s="5" t="s">
        <v>63</v>
      </c>
      <c r="C19" s="5" t="s">
        <v>12</v>
      </c>
      <c r="D19" s="5" t="s">
        <v>28</v>
      </c>
      <c r="E19" s="5" t="s">
        <v>24</v>
      </c>
      <c r="F19" s="5" t="s">
        <v>29</v>
      </c>
      <c r="G19" s="5" t="s">
        <v>68</v>
      </c>
      <c r="H19" s="5" t="s">
        <v>69</v>
      </c>
      <c r="I19" s="5" t="s">
        <v>70</v>
      </c>
      <c r="J19" s="6" t="str">
        <f t="shared" si="1"/>
        <v/>
      </c>
      <c r="K19" s="7"/>
      <c r="L19" s="6" t="str">
        <f t="shared" si="0"/>
        <v/>
      </c>
    </row>
    <row r="20" spans="2:12" x14ac:dyDescent="0.15">
      <c r="B20" s="5" t="s">
        <v>63</v>
      </c>
      <c r="C20" s="5" t="s">
        <v>12</v>
      </c>
      <c r="D20" s="5" t="s">
        <v>3</v>
      </c>
      <c r="E20" s="5" t="s">
        <v>28</v>
      </c>
      <c r="F20" s="5" t="s">
        <v>32</v>
      </c>
      <c r="G20" s="5" t="s">
        <v>68</v>
      </c>
      <c r="H20" s="5" t="s">
        <v>71</v>
      </c>
      <c r="I20" s="5" t="s">
        <v>69</v>
      </c>
      <c r="J20" s="6" t="str">
        <f t="shared" si="1"/>
        <v>Sujal</v>
      </c>
      <c r="K20" s="7" t="s">
        <v>35</v>
      </c>
      <c r="L20" s="6" t="str">
        <f t="shared" si="0"/>
        <v>Team 3</v>
      </c>
    </row>
    <row r="21" spans="2:12" x14ac:dyDescent="0.15">
      <c r="B21" s="5" t="s">
        <v>63</v>
      </c>
      <c r="C21" s="5" t="s">
        <v>12</v>
      </c>
      <c r="D21" s="5" t="s">
        <v>28</v>
      </c>
      <c r="E21" s="5" t="s">
        <v>24</v>
      </c>
      <c r="F21" s="5" t="s">
        <v>29</v>
      </c>
      <c r="G21" s="5" t="s">
        <v>16</v>
      </c>
      <c r="H21" s="5" t="s">
        <v>34</v>
      </c>
      <c r="I21" s="5" t="s">
        <v>67</v>
      </c>
      <c r="J21" s="6" t="str">
        <f t="shared" si="1"/>
        <v>Rithu + Darshan Patel</v>
      </c>
      <c r="K21" s="7" t="s">
        <v>19</v>
      </c>
      <c r="L21" s="6" t="str">
        <f t="shared" si="0"/>
        <v>Team 3</v>
      </c>
    </row>
    <row r="22" spans="2:12" x14ac:dyDescent="0.15">
      <c r="B22" s="5" t="s">
        <v>63</v>
      </c>
      <c r="C22" s="5" t="s">
        <v>12</v>
      </c>
      <c r="D22" s="5" t="s">
        <v>2</v>
      </c>
      <c r="E22" s="5" t="s">
        <v>14</v>
      </c>
      <c r="F22" s="5" t="s">
        <v>72</v>
      </c>
      <c r="G22" s="5" t="s">
        <v>53</v>
      </c>
      <c r="H22" s="5" t="s">
        <v>73</v>
      </c>
      <c r="I22" s="5" t="s">
        <v>74</v>
      </c>
      <c r="J22" s="6" t="str">
        <f t="shared" si="1"/>
        <v/>
      </c>
      <c r="K22" s="7"/>
      <c r="L22" s="6" t="str">
        <f t="shared" si="0"/>
        <v/>
      </c>
    </row>
    <row r="23" spans="2:12" x14ac:dyDescent="0.15">
      <c r="B23" s="5" t="s">
        <v>63</v>
      </c>
      <c r="C23" s="5" t="s">
        <v>12</v>
      </c>
      <c r="D23" s="5" t="s">
        <v>28</v>
      </c>
      <c r="E23" s="5" t="s">
        <v>13</v>
      </c>
      <c r="F23" s="5" t="s">
        <v>46</v>
      </c>
      <c r="G23" s="5" t="s">
        <v>20</v>
      </c>
      <c r="H23" s="5" t="s">
        <v>30</v>
      </c>
      <c r="I23" s="5" t="s">
        <v>21</v>
      </c>
      <c r="J23" s="6" t="str">
        <f t="shared" si="1"/>
        <v/>
      </c>
      <c r="K23" s="8"/>
      <c r="L23" s="6" t="str">
        <f t="shared" si="0"/>
        <v/>
      </c>
    </row>
    <row r="24" spans="2:12" x14ac:dyDescent="0.15">
      <c r="B24" s="5" t="s">
        <v>63</v>
      </c>
      <c r="C24" s="5" t="s">
        <v>43</v>
      </c>
      <c r="D24" s="5" t="s">
        <v>3</v>
      </c>
      <c r="E24" s="5" t="s">
        <v>14</v>
      </c>
      <c r="F24" s="5" t="s">
        <v>75</v>
      </c>
      <c r="G24" s="5" t="s">
        <v>36</v>
      </c>
      <c r="H24" s="5" t="s">
        <v>76</v>
      </c>
      <c r="I24" s="5" t="s">
        <v>77</v>
      </c>
      <c r="J24" s="6" t="str">
        <f t="shared" si="1"/>
        <v>Navtej</v>
      </c>
      <c r="K24" s="7" t="s">
        <v>78</v>
      </c>
      <c r="L24" s="6" t="str">
        <f t="shared" si="0"/>
        <v>Team 6</v>
      </c>
    </row>
    <row r="25" spans="2:12" x14ac:dyDescent="0.15">
      <c r="B25" s="5" t="s">
        <v>63</v>
      </c>
      <c r="C25" s="5" t="s">
        <v>43</v>
      </c>
      <c r="D25" s="5" t="s">
        <v>3</v>
      </c>
      <c r="E25" s="5" t="s">
        <v>14</v>
      </c>
      <c r="F25" s="5" t="s">
        <v>75</v>
      </c>
      <c r="G25" s="5" t="s">
        <v>68</v>
      </c>
      <c r="H25" s="5" t="s">
        <v>71</v>
      </c>
      <c r="I25" s="5" t="s">
        <v>79</v>
      </c>
      <c r="J25" s="6" t="str">
        <f t="shared" si="1"/>
        <v/>
      </c>
      <c r="K25" s="7"/>
      <c r="L25" s="6" t="str">
        <f t="shared" si="0"/>
        <v/>
      </c>
    </row>
    <row r="26" spans="2:12" x14ac:dyDescent="0.15">
      <c r="B26" s="5" t="s">
        <v>63</v>
      </c>
      <c r="C26" s="5" t="s">
        <v>43</v>
      </c>
      <c r="D26" s="5" t="s">
        <v>28</v>
      </c>
      <c r="E26" s="5" t="s">
        <v>14</v>
      </c>
      <c r="F26" s="5" t="s">
        <v>64</v>
      </c>
      <c r="G26" s="5" t="s">
        <v>16</v>
      </c>
      <c r="H26" s="5" t="s">
        <v>34</v>
      </c>
      <c r="I26" s="5" t="s">
        <v>18</v>
      </c>
      <c r="J26" s="6" t="str">
        <f t="shared" si="1"/>
        <v>Rithu + Darshan Patel</v>
      </c>
      <c r="K26" s="7" t="s">
        <v>80</v>
      </c>
      <c r="L26" s="6" t="str">
        <f t="shared" si="0"/>
        <v>Team 3</v>
      </c>
    </row>
    <row r="27" spans="2:12" x14ac:dyDescent="0.15">
      <c r="B27" s="5" t="s">
        <v>63</v>
      </c>
      <c r="C27" s="5" t="s">
        <v>43</v>
      </c>
      <c r="D27" s="5" t="s">
        <v>28</v>
      </c>
      <c r="E27" s="5" t="s">
        <v>14</v>
      </c>
      <c r="F27" s="5" t="s">
        <v>64</v>
      </c>
      <c r="G27" s="5" t="s">
        <v>20</v>
      </c>
      <c r="H27" s="5" t="s">
        <v>30</v>
      </c>
      <c r="I27" s="5" t="s">
        <v>22</v>
      </c>
      <c r="J27" s="6" t="str">
        <f t="shared" si="1"/>
        <v>Neha P Jain</v>
      </c>
      <c r="K27" s="7" t="s">
        <v>39</v>
      </c>
      <c r="L27" s="6" t="str">
        <f t="shared" si="0"/>
        <v>Team 6</v>
      </c>
    </row>
    <row r="28" spans="2:12" x14ac:dyDescent="0.15">
      <c r="B28" s="5" t="s">
        <v>63</v>
      </c>
      <c r="C28" s="5" t="s">
        <v>43</v>
      </c>
      <c r="D28" s="5" t="s">
        <v>3</v>
      </c>
      <c r="E28" s="5" t="s">
        <v>28</v>
      </c>
      <c r="F28" s="5" t="s">
        <v>32</v>
      </c>
      <c r="G28" s="5" t="s">
        <v>53</v>
      </c>
      <c r="H28" s="5" t="s">
        <v>54</v>
      </c>
      <c r="I28" s="5" t="s">
        <v>81</v>
      </c>
      <c r="J28" s="6" t="str">
        <f t="shared" si="1"/>
        <v/>
      </c>
      <c r="K28" s="7"/>
      <c r="L28" s="6" t="str">
        <f t="shared" si="0"/>
        <v/>
      </c>
    </row>
    <row r="29" spans="2:12" x14ac:dyDescent="0.15">
      <c r="B29" s="5" t="s">
        <v>63</v>
      </c>
      <c r="C29" s="5" t="s">
        <v>43</v>
      </c>
      <c r="D29" s="5" t="s">
        <v>2</v>
      </c>
      <c r="E29" s="5" t="s">
        <v>13</v>
      </c>
      <c r="F29" s="5" t="s">
        <v>56</v>
      </c>
      <c r="G29" s="5" t="s">
        <v>53</v>
      </c>
      <c r="H29" s="5" t="s">
        <v>73</v>
      </c>
      <c r="I29" s="5" t="s">
        <v>82</v>
      </c>
      <c r="J29" s="6" t="str">
        <f t="shared" si="1"/>
        <v/>
      </c>
      <c r="K29" s="7"/>
      <c r="L29" s="6" t="str">
        <f t="shared" si="0"/>
        <v/>
      </c>
    </row>
    <row r="30" spans="2:12" x14ac:dyDescent="0.15">
      <c r="B30" s="5" t="s">
        <v>63</v>
      </c>
      <c r="C30" s="5" t="s">
        <v>43</v>
      </c>
      <c r="D30" s="5" t="s">
        <v>13</v>
      </c>
      <c r="E30" s="5" t="s">
        <v>14</v>
      </c>
      <c r="F30" s="5" t="s">
        <v>15</v>
      </c>
      <c r="G30" s="5" t="s">
        <v>68</v>
      </c>
      <c r="H30" s="5" t="s">
        <v>83</v>
      </c>
      <c r="I30" s="5" t="s">
        <v>79</v>
      </c>
      <c r="J30" s="6" t="str">
        <f t="shared" si="1"/>
        <v>Pavan D</v>
      </c>
      <c r="K30" s="7" t="s">
        <v>84</v>
      </c>
      <c r="L30" s="6" t="str">
        <f t="shared" si="0"/>
        <v>Team 5</v>
      </c>
    </row>
    <row r="31" spans="2:12" x14ac:dyDescent="0.15">
      <c r="B31" s="5" t="s">
        <v>85</v>
      </c>
      <c r="C31" s="5" t="s">
        <v>12</v>
      </c>
      <c r="D31" s="5" t="s">
        <v>3</v>
      </c>
      <c r="E31" s="5" t="s">
        <v>13</v>
      </c>
      <c r="F31" s="5" t="s">
        <v>86</v>
      </c>
      <c r="G31" s="5" t="s">
        <v>68</v>
      </c>
      <c r="H31" s="5" t="s">
        <v>71</v>
      </c>
      <c r="I31" s="5" t="s">
        <v>83</v>
      </c>
      <c r="J31" s="6" t="str">
        <f t="shared" si="1"/>
        <v/>
      </c>
      <c r="K31" s="7"/>
      <c r="L31" s="6" t="str">
        <f t="shared" si="0"/>
        <v/>
      </c>
    </row>
    <row r="32" spans="2:12" x14ac:dyDescent="0.15">
      <c r="B32" s="5" t="s">
        <v>85</v>
      </c>
      <c r="C32" s="5" t="s">
        <v>12</v>
      </c>
      <c r="D32" s="5" t="s">
        <v>24</v>
      </c>
      <c r="E32" s="5" t="s">
        <v>14</v>
      </c>
      <c r="F32" s="5" t="s">
        <v>59</v>
      </c>
      <c r="G32" s="5" t="s">
        <v>36</v>
      </c>
      <c r="H32" s="5" t="s">
        <v>38</v>
      </c>
      <c r="I32" s="5" t="s">
        <v>77</v>
      </c>
      <c r="J32" s="6" t="str">
        <f t="shared" si="1"/>
        <v>Jay B</v>
      </c>
      <c r="K32" s="7" t="s">
        <v>87</v>
      </c>
      <c r="L32" s="6" t="str">
        <f t="shared" si="0"/>
        <v>Team 4</v>
      </c>
    </row>
    <row r="33" spans="2:12" x14ac:dyDescent="0.15">
      <c r="B33" s="5" t="s">
        <v>85</v>
      </c>
      <c r="C33" s="5" t="s">
        <v>12</v>
      </c>
      <c r="D33" s="5" t="s">
        <v>3</v>
      </c>
      <c r="E33" s="5" t="s">
        <v>13</v>
      </c>
      <c r="F33" s="5" t="s">
        <v>86</v>
      </c>
      <c r="G33" s="5" t="s">
        <v>20</v>
      </c>
      <c r="H33" s="5" t="s">
        <v>88</v>
      </c>
      <c r="I33" s="5" t="s">
        <v>21</v>
      </c>
      <c r="J33" s="6" t="str">
        <f t="shared" si="1"/>
        <v/>
      </c>
      <c r="K33" s="8"/>
      <c r="L33" s="6" t="str">
        <f t="shared" si="0"/>
        <v/>
      </c>
    </row>
    <row r="34" spans="2:12" x14ac:dyDescent="0.15">
      <c r="B34" s="5" t="s">
        <v>85</v>
      </c>
      <c r="C34" s="5" t="s">
        <v>12</v>
      </c>
      <c r="D34" s="5" t="s">
        <v>24</v>
      </c>
      <c r="E34" s="5" t="s">
        <v>14</v>
      </c>
      <c r="F34" s="5" t="s">
        <v>59</v>
      </c>
      <c r="G34" s="5" t="s">
        <v>53</v>
      </c>
      <c r="H34" s="5" t="s">
        <v>55</v>
      </c>
      <c r="I34" s="5" t="s">
        <v>74</v>
      </c>
      <c r="J34" s="6" t="str">
        <f t="shared" si="1"/>
        <v/>
      </c>
      <c r="K34" s="8"/>
      <c r="L34" s="6" t="str">
        <f t="shared" si="0"/>
        <v/>
      </c>
    </row>
    <row r="35" spans="2:12" x14ac:dyDescent="0.15">
      <c r="B35" s="5" t="s">
        <v>85</v>
      </c>
      <c r="C35" s="5" t="s">
        <v>12</v>
      </c>
      <c r="D35" s="5" t="s">
        <v>3</v>
      </c>
      <c r="E35" s="5" t="s">
        <v>28</v>
      </c>
      <c r="F35" s="5" t="s">
        <v>32</v>
      </c>
      <c r="G35" s="5" t="s">
        <v>36</v>
      </c>
      <c r="H35" s="5" t="s">
        <v>76</v>
      </c>
      <c r="I35" s="5" t="s">
        <v>47</v>
      </c>
      <c r="J35" s="6" t="str">
        <f t="shared" si="1"/>
        <v>Niraj Salot</v>
      </c>
      <c r="K35" s="7" t="s">
        <v>39</v>
      </c>
      <c r="L35" s="6" t="str">
        <f t="shared" si="0"/>
        <v>Team 3</v>
      </c>
    </row>
    <row r="36" spans="2:12" x14ac:dyDescent="0.15">
      <c r="B36" s="5" t="s">
        <v>85</v>
      </c>
      <c r="C36" s="5" t="s">
        <v>12</v>
      </c>
      <c r="D36" s="5" t="s">
        <v>2</v>
      </c>
      <c r="E36" s="5" t="s">
        <v>3</v>
      </c>
      <c r="F36" s="5" t="s">
        <v>89</v>
      </c>
      <c r="G36" s="5" t="s">
        <v>68</v>
      </c>
      <c r="H36" s="5" t="s">
        <v>90</v>
      </c>
      <c r="I36" s="5" t="s">
        <v>71</v>
      </c>
      <c r="J36" s="6" t="str">
        <f t="shared" si="1"/>
        <v>Saurabh</v>
      </c>
      <c r="K36" s="7" t="s">
        <v>80</v>
      </c>
      <c r="L36" s="6" t="str">
        <f t="shared" si="0"/>
        <v>Team 1</v>
      </c>
    </row>
    <row r="37" spans="2:12" x14ac:dyDescent="0.15">
      <c r="B37" s="5" t="s">
        <v>85</v>
      </c>
      <c r="C37" s="5" t="s">
        <v>12</v>
      </c>
      <c r="D37" s="5" t="s">
        <v>2</v>
      </c>
      <c r="E37" s="5" t="s">
        <v>24</v>
      </c>
      <c r="F37" s="5" t="s">
        <v>25</v>
      </c>
      <c r="G37" s="5" t="s">
        <v>49</v>
      </c>
      <c r="H37" s="5" t="s">
        <v>57</v>
      </c>
      <c r="I37" s="5" t="s">
        <v>91</v>
      </c>
      <c r="J37" s="6" t="str">
        <f t="shared" si="1"/>
        <v>Leela Sagar + Ali Akbar</v>
      </c>
      <c r="K37" s="7" t="s">
        <v>92</v>
      </c>
      <c r="L37" s="6" t="str">
        <f t="shared" si="0"/>
        <v>Team 4</v>
      </c>
    </row>
    <row r="38" spans="2:12" x14ac:dyDescent="0.15">
      <c r="B38" s="5" t="s">
        <v>85</v>
      </c>
      <c r="C38" s="5" t="s">
        <v>43</v>
      </c>
      <c r="D38" s="5" t="s">
        <v>28</v>
      </c>
      <c r="E38" s="5" t="s">
        <v>13</v>
      </c>
      <c r="F38" s="5" t="s">
        <v>46</v>
      </c>
      <c r="G38" s="5" t="s">
        <v>49</v>
      </c>
      <c r="H38" s="5" t="s">
        <v>65</v>
      </c>
      <c r="I38" s="5" t="s">
        <v>50</v>
      </c>
      <c r="J38" s="6" t="str">
        <f t="shared" si="1"/>
        <v>Kunal D + Anirudha H</v>
      </c>
      <c r="K38" s="7" t="s">
        <v>45</v>
      </c>
      <c r="L38" s="6" t="str">
        <f t="shared" si="0"/>
        <v>Team 3</v>
      </c>
    </row>
    <row r="39" spans="2:12" x14ac:dyDescent="0.15">
      <c r="B39" s="5" t="s">
        <v>85</v>
      </c>
      <c r="C39" s="5" t="s">
        <v>43</v>
      </c>
      <c r="D39" s="5" t="s">
        <v>24</v>
      </c>
      <c r="E39" s="5" t="s">
        <v>13</v>
      </c>
      <c r="F39" s="5" t="s">
        <v>44</v>
      </c>
      <c r="G39" s="5" t="s">
        <v>49</v>
      </c>
      <c r="H39" s="5" t="s">
        <v>91</v>
      </c>
      <c r="I39" s="5" t="s">
        <v>50</v>
      </c>
      <c r="J39" s="6" t="str">
        <f t="shared" si="1"/>
        <v>Leela Sagar + Ali Akbar</v>
      </c>
      <c r="K39" s="7" t="s">
        <v>93</v>
      </c>
      <c r="L39" s="6" t="str">
        <f t="shared" si="0"/>
        <v>Team 4</v>
      </c>
    </row>
    <row r="40" spans="2:12" x14ac:dyDescent="0.15">
      <c r="B40" s="5" t="s">
        <v>85</v>
      </c>
      <c r="C40" s="5" t="s">
        <v>43</v>
      </c>
      <c r="D40" s="5" t="s">
        <v>3</v>
      </c>
      <c r="E40" s="5" t="s">
        <v>14</v>
      </c>
      <c r="F40" s="5" t="s">
        <v>75</v>
      </c>
      <c r="G40" s="5" t="s">
        <v>20</v>
      </c>
      <c r="H40" s="5" t="s">
        <v>88</v>
      </c>
      <c r="I40" s="5" t="s">
        <v>22</v>
      </c>
      <c r="J40" s="6" t="str">
        <f t="shared" si="1"/>
        <v/>
      </c>
      <c r="K40" s="7"/>
      <c r="L40" s="6" t="str">
        <f t="shared" si="0"/>
        <v/>
      </c>
    </row>
    <row r="41" spans="2:12" x14ac:dyDescent="0.15">
      <c r="B41" s="5" t="s">
        <v>85</v>
      </c>
      <c r="C41" s="5" t="s">
        <v>43</v>
      </c>
      <c r="D41" s="5" t="s">
        <v>3</v>
      </c>
      <c r="E41" s="5" t="s">
        <v>13</v>
      </c>
      <c r="F41" s="5" t="s">
        <v>86</v>
      </c>
      <c r="G41" s="5" t="s">
        <v>16</v>
      </c>
      <c r="H41" s="5" t="s">
        <v>33</v>
      </c>
      <c r="I41" s="5" t="s">
        <v>17</v>
      </c>
      <c r="J41" s="6" t="str">
        <f t="shared" si="1"/>
        <v>Keerthana + Abhiram</v>
      </c>
      <c r="K41" s="7" t="s">
        <v>58</v>
      </c>
      <c r="L41" s="6" t="str">
        <f t="shared" si="0"/>
        <v>Team 2</v>
      </c>
    </row>
    <row r="42" spans="2:12" x14ac:dyDescent="0.15">
      <c r="B42" s="5" t="s">
        <v>85</v>
      </c>
      <c r="C42" s="5" t="s">
        <v>43</v>
      </c>
      <c r="D42" s="5" t="s">
        <v>24</v>
      </c>
      <c r="E42" s="5" t="s">
        <v>13</v>
      </c>
      <c r="F42" s="5" t="s">
        <v>44</v>
      </c>
      <c r="G42" s="5" t="s">
        <v>53</v>
      </c>
      <c r="H42" s="5" t="s">
        <v>55</v>
      </c>
      <c r="I42" s="5" t="s">
        <v>82</v>
      </c>
      <c r="J42" s="6" t="str">
        <f t="shared" si="1"/>
        <v>Khush B + Hemanth</v>
      </c>
      <c r="K42" s="7" t="s">
        <v>94</v>
      </c>
      <c r="L42" s="6" t="str">
        <f t="shared" si="0"/>
        <v>Team 4</v>
      </c>
    </row>
    <row r="43" spans="2:12" x14ac:dyDescent="0.15">
      <c r="B43" s="5" t="s">
        <v>85</v>
      </c>
      <c r="C43" s="5" t="s">
        <v>43</v>
      </c>
      <c r="D43" s="5" t="s">
        <v>28</v>
      </c>
      <c r="E43" s="5" t="s">
        <v>14</v>
      </c>
      <c r="F43" s="5" t="s">
        <v>64</v>
      </c>
      <c r="G43" s="5" t="s">
        <v>36</v>
      </c>
      <c r="H43" s="5" t="s">
        <v>47</v>
      </c>
      <c r="I43" s="5" t="s">
        <v>77</v>
      </c>
      <c r="J43" s="6" t="str">
        <f t="shared" si="1"/>
        <v/>
      </c>
      <c r="K43" s="8"/>
      <c r="L43" s="6" t="str">
        <f t="shared" si="0"/>
        <v/>
      </c>
    </row>
    <row r="44" spans="2:12" x14ac:dyDescent="0.15">
      <c r="B44" s="5" t="s">
        <v>85</v>
      </c>
      <c r="C44" s="5" t="s">
        <v>43</v>
      </c>
      <c r="D44" s="5" t="s">
        <v>2</v>
      </c>
      <c r="E44" s="5" t="s">
        <v>3</v>
      </c>
      <c r="F44" s="5" t="s">
        <v>89</v>
      </c>
      <c r="G44" s="5" t="s">
        <v>40</v>
      </c>
      <c r="H44" s="5" t="s">
        <v>41</v>
      </c>
      <c r="I44" s="5" t="s">
        <v>95</v>
      </c>
      <c r="J44" s="6" t="str">
        <f t="shared" si="1"/>
        <v/>
      </c>
      <c r="K44" s="8"/>
      <c r="L44" s="6" t="str">
        <f t="shared" si="0"/>
        <v/>
      </c>
    </row>
    <row r="45" spans="2:12" x14ac:dyDescent="0.15">
      <c r="B45" s="5" t="s">
        <v>96</v>
      </c>
      <c r="C45" s="5" t="s">
        <v>12</v>
      </c>
      <c r="D45" s="5" t="s">
        <v>2</v>
      </c>
      <c r="E45" s="5" t="s">
        <v>24</v>
      </c>
      <c r="F45" s="5" t="s">
        <v>25</v>
      </c>
      <c r="G45" s="5" t="s">
        <v>68</v>
      </c>
      <c r="H45" s="5" t="s">
        <v>90</v>
      </c>
      <c r="I45" s="5" t="s">
        <v>70</v>
      </c>
      <c r="J45" s="6" t="str">
        <f t="shared" si="1"/>
        <v/>
      </c>
      <c r="K45" s="7"/>
      <c r="L45" s="6" t="str">
        <f t="shared" si="0"/>
        <v/>
      </c>
    </row>
    <row r="46" spans="2:12" x14ac:dyDescent="0.15">
      <c r="B46" s="5" t="s">
        <v>96</v>
      </c>
      <c r="C46" s="5" t="s">
        <v>12</v>
      </c>
      <c r="D46" s="5" t="s">
        <v>3</v>
      </c>
      <c r="E46" s="5" t="s">
        <v>13</v>
      </c>
      <c r="F46" s="5" t="s">
        <v>86</v>
      </c>
      <c r="G46" s="5" t="s">
        <v>49</v>
      </c>
      <c r="H46" s="5" t="s">
        <v>97</v>
      </c>
      <c r="I46" s="5" t="s">
        <v>50</v>
      </c>
      <c r="J46" s="6" t="str">
        <f t="shared" si="1"/>
        <v>Kushal  + Shubham</v>
      </c>
      <c r="K46" s="7" t="s">
        <v>98</v>
      </c>
      <c r="L46" s="6" t="str">
        <f t="shared" si="0"/>
        <v>Team 2</v>
      </c>
    </row>
    <row r="47" spans="2:12" x14ac:dyDescent="0.15">
      <c r="B47" s="5" t="s">
        <v>96</v>
      </c>
      <c r="C47" s="5" t="s">
        <v>12</v>
      </c>
      <c r="D47" s="5" t="s">
        <v>3</v>
      </c>
      <c r="E47" s="5" t="s">
        <v>13</v>
      </c>
      <c r="F47" s="5" t="s">
        <v>86</v>
      </c>
      <c r="G47" s="5" t="s">
        <v>36</v>
      </c>
      <c r="H47" s="5" t="s">
        <v>76</v>
      </c>
      <c r="I47" s="5" t="s">
        <v>48</v>
      </c>
      <c r="J47" s="6" t="str">
        <f t="shared" si="1"/>
        <v>Vidwan</v>
      </c>
      <c r="K47" s="7" t="s">
        <v>99</v>
      </c>
      <c r="L47" s="6" t="str">
        <f t="shared" si="0"/>
        <v>Team 5</v>
      </c>
    </row>
    <row r="48" spans="2:12" x14ac:dyDescent="0.15">
      <c r="B48" s="5" t="s">
        <v>96</v>
      </c>
      <c r="C48" s="5" t="s">
        <v>12</v>
      </c>
      <c r="D48" s="5" t="s">
        <v>2</v>
      </c>
      <c r="E48" s="5" t="s">
        <v>14</v>
      </c>
      <c r="F48" s="5" t="s">
        <v>72</v>
      </c>
      <c r="G48" s="5" t="s">
        <v>36</v>
      </c>
      <c r="H48" s="5" t="s">
        <v>37</v>
      </c>
      <c r="I48" s="5" t="s">
        <v>77</v>
      </c>
      <c r="J48" s="6" t="str">
        <f t="shared" si="1"/>
        <v/>
      </c>
      <c r="K48" s="7"/>
      <c r="L48" s="6" t="str">
        <f t="shared" si="0"/>
        <v/>
      </c>
    </row>
    <row r="49" spans="2:12" x14ac:dyDescent="0.15">
      <c r="B49" s="5" t="s">
        <v>96</v>
      </c>
      <c r="C49" s="5" t="s">
        <v>12</v>
      </c>
      <c r="D49" s="5" t="s">
        <v>2</v>
      </c>
      <c r="E49" s="5" t="s">
        <v>3</v>
      </c>
      <c r="F49" s="5" t="s">
        <v>89</v>
      </c>
      <c r="G49" s="5" t="s">
        <v>53</v>
      </c>
      <c r="H49" s="5" t="s">
        <v>73</v>
      </c>
      <c r="I49" s="5" t="s">
        <v>54</v>
      </c>
      <c r="J49" s="6" t="str">
        <f t="shared" si="1"/>
        <v/>
      </c>
      <c r="K49" s="7"/>
      <c r="L49" s="6" t="str">
        <f t="shared" si="0"/>
        <v/>
      </c>
    </row>
    <row r="50" spans="2:12" x14ac:dyDescent="0.15">
      <c r="B50" s="5" t="s">
        <v>96</v>
      </c>
      <c r="C50" s="5" t="s">
        <v>12</v>
      </c>
      <c r="D50" s="5" t="s">
        <v>3</v>
      </c>
      <c r="E50" s="5" t="s">
        <v>14</v>
      </c>
      <c r="F50" s="5" t="s">
        <v>75</v>
      </c>
      <c r="G50" s="5" t="s">
        <v>40</v>
      </c>
      <c r="H50" s="5" t="s">
        <v>95</v>
      </c>
      <c r="I50" s="5" t="s">
        <v>60</v>
      </c>
      <c r="J50" s="6" t="str">
        <f t="shared" si="1"/>
        <v/>
      </c>
      <c r="K50" s="7"/>
      <c r="L50" s="6" t="str">
        <f t="shared" si="0"/>
        <v/>
      </c>
    </row>
    <row r="51" spans="2:12" x14ac:dyDescent="0.15">
      <c r="B51" s="5" t="s">
        <v>96</v>
      </c>
      <c r="C51" s="5" t="s">
        <v>12</v>
      </c>
      <c r="D51" s="5" t="s">
        <v>28</v>
      </c>
      <c r="E51" s="5" t="s">
        <v>24</v>
      </c>
      <c r="F51" s="5" t="s">
        <v>29</v>
      </c>
      <c r="G51" s="5" t="s">
        <v>40</v>
      </c>
      <c r="H51" s="5" t="s">
        <v>62</v>
      </c>
      <c r="I51" s="5" t="s">
        <v>42</v>
      </c>
      <c r="J51" s="6" t="str">
        <f t="shared" si="1"/>
        <v/>
      </c>
      <c r="K51" s="7"/>
      <c r="L51" s="6" t="str">
        <f t="shared" si="0"/>
        <v/>
      </c>
    </row>
    <row r="52" spans="2:12" x14ac:dyDescent="0.15">
      <c r="B52" s="5" t="s">
        <v>96</v>
      </c>
      <c r="C52" s="5" t="s">
        <v>43</v>
      </c>
      <c r="D52" s="5" t="s">
        <v>2</v>
      </c>
      <c r="E52" s="5" t="s">
        <v>13</v>
      </c>
      <c r="F52" s="5" t="s">
        <v>56</v>
      </c>
      <c r="G52" s="5" t="s">
        <v>16</v>
      </c>
      <c r="H52" s="5" t="s">
        <v>66</v>
      </c>
      <c r="I52" s="5" t="s">
        <v>17</v>
      </c>
      <c r="J52" s="6" t="str">
        <f t="shared" si="1"/>
        <v/>
      </c>
      <c r="K52" s="7"/>
      <c r="L52" s="6" t="str">
        <f t="shared" si="0"/>
        <v/>
      </c>
    </row>
    <row r="53" spans="2:12" x14ac:dyDescent="0.15">
      <c r="B53" s="5" t="s">
        <v>96</v>
      </c>
      <c r="C53" s="5" t="s">
        <v>43</v>
      </c>
      <c r="D53" s="5" t="s">
        <v>2</v>
      </c>
      <c r="E53" s="5" t="s">
        <v>13</v>
      </c>
      <c r="F53" s="5" t="s">
        <v>56</v>
      </c>
      <c r="G53" s="5" t="s">
        <v>20</v>
      </c>
      <c r="H53" s="5" t="s">
        <v>26</v>
      </c>
      <c r="I53" s="5" t="s">
        <v>21</v>
      </c>
      <c r="J53" s="6" t="str">
        <f t="shared" si="1"/>
        <v/>
      </c>
      <c r="K53" s="8"/>
      <c r="L53" s="6" t="str">
        <f t="shared" si="0"/>
        <v/>
      </c>
    </row>
    <row r="54" spans="2:12" x14ac:dyDescent="0.15">
      <c r="B54" s="5" t="s">
        <v>96</v>
      </c>
      <c r="C54" s="5" t="s">
        <v>43</v>
      </c>
      <c r="D54" s="5" t="s">
        <v>24</v>
      </c>
      <c r="E54" s="5" t="s">
        <v>14</v>
      </c>
      <c r="F54" s="5" t="s">
        <v>59</v>
      </c>
      <c r="G54" s="5" t="s">
        <v>68</v>
      </c>
      <c r="H54" s="5" t="s">
        <v>70</v>
      </c>
      <c r="I54" s="5" t="s">
        <v>79</v>
      </c>
      <c r="J54" s="6" t="str">
        <f t="shared" si="1"/>
        <v/>
      </c>
      <c r="K54" s="8"/>
      <c r="L54" s="6" t="str">
        <f t="shared" si="0"/>
        <v/>
      </c>
    </row>
    <row r="55" spans="2:12" x14ac:dyDescent="0.15">
      <c r="B55" s="5" t="s">
        <v>96</v>
      </c>
      <c r="C55" s="5" t="s">
        <v>43</v>
      </c>
      <c r="D55" s="5" t="s">
        <v>2</v>
      </c>
      <c r="E55" s="5" t="s">
        <v>28</v>
      </c>
      <c r="F55" s="5" t="s">
        <v>61</v>
      </c>
      <c r="G55" s="5" t="s">
        <v>53</v>
      </c>
      <c r="H55" s="5" t="s">
        <v>73</v>
      </c>
      <c r="I55" s="5" t="s">
        <v>81</v>
      </c>
      <c r="J55" s="6" t="str">
        <f t="shared" si="1"/>
        <v>Sarvesh H + Deviprasad</v>
      </c>
      <c r="K55" s="7" t="s">
        <v>100</v>
      </c>
      <c r="L55" s="6" t="str">
        <f t="shared" si="0"/>
        <v>Team 3</v>
      </c>
    </row>
    <row r="56" spans="2:12" x14ac:dyDescent="0.15">
      <c r="B56" s="5" t="s">
        <v>96</v>
      </c>
      <c r="C56" s="5" t="s">
        <v>43</v>
      </c>
      <c r="D56" s="5" t="s">
        <v>28</v>
      </c>
      <c r="E56" s="5" t="s">
        <v>24</v>
      </c>
      <c r="F56" s="5" t="s">
        <v>29</v>
      </c>
      <c r="G56" s="5" t="s">
        <v>53</v>
      </c>
      <c r="H56" s="5" t="s">
        <v>81</v>
      </c>
      <c r="I56" s="5" t="s">
        <v>55</v>
      </c>
      <c r="J56" s="6" t="str">
        <f t="shared" si="1"/>
        <v>Sarvesh H + Deviprasad</v>
      </c>
      <c r="K56" s="7" t="s">
        <v>101</v>
      </c>
      <c r="L56" s="6" t="str">
        <f t="shared" si="0"/>
        <v>Team 3</v>
      </c>
    </row>
    <row r="57" spans="2:12" x14ac:dyDescent="0.15">
      <c r="B57" s="5" t="s">
        <v>96</v>
      </c>
      <c r="C57" s="5" t="s">
        <v>43</v>
      </c>
      <c r="D57" s="5" t="s">
        <v>24</v>
      </c>
      <c r="E57" s="5" t="s">
        <v>13</v>
      </c>
      <c r="F57" s="5" t="s">
        <v>44</v>
      </c>
      <c r="G57" s="5" t="s">
        <v>68</v>
      </c>
      <c r="H57" s="5" t="s">
        <v>70</v>
      </c>
      <c r="I57" s="5" t="s">
        <v>83</v>
      </c>
      <c r="J57" s="6" t="str">
        <f t="shared" si="1"/>
        <v/>
      </c>
      <c r="K57" s="7"/>
      <c r="L57" s="6" t="str">
        <f t="shared" si="0"/>
        <v/>
      </c>
    </row>
    <row r="58" spans="2:12" x14ac:dyDescent="0.15">
      <c r="B58" s="5" t="s">
        <v>96</v>
      </c>
      <c r="C58" s="5" t="s">
        <v>43</v>
      </c>
      <c r="D58" s="5" t="s">
        <v>3</v>
      </c>
      <c r="E58" s="5" t="s">
        <v>14</v>
      </c>
      <c r="F58" s="5" t="s">
        <v>75</v>
      </c>
      <c r="G58" s="5" t="s">
        <v>16</v>
      </c>
      <c r="H58" s="5" t="s">
        <v>33</v>
      </c>
      <c r="I58" s="5" t="s">
        <v>18</v>
      </c>
      <c r="J58" s="6" t="str">
        <f t="shared" si="1"/>
        <v/>
      </c>
      <c r="K58" s="7"/>
      <c r="L58" s="6" t="str">
        <f t="shared" si="0"/>
        <v/>
      </c>
    </row>
    <row r="59" spans="2:12" x14ac:dyDescent="0.15">
      <c r="B59" s="5" t="s">
        <v>102</v>
      </c>
      <c r="C59" s="5" t="s">
        <v>12</v>
      </c>
      <c r="D59" s="5" t="s">
        <v>3</v>
      </c>
      <c r="E59" s="5" t="s">
        <v>28</v>
      </c>
      <c r="F59" s="5" t="s">
        <v>32</v>
      </c>
      <c r="G59" s="5" t="s">
        <v>40</v>
      </c>
      <c r="H59" s="5" t="s">
        <v>95</v>
      </c>
      <c r="I59" s="5" t="s">
        <v>62</v>
      </c>
      <c r="J59" s="6" t="str">
        <f t="shared" si="1"/>
        <v/>
      </c>
      <c r="K59" s="7"/>
      <c r="L59" s="6" t="str">
        <f t="shared" si="0"/>
        <v/>
      </c>
    </row>
    <row r="60" spans="2:12" x14ac:dyDescent="0.15">
      <c r="B60" s="5" t="s">
        <v>102</v>
      </c>
      <c r="C60" s="5" t="s">
        <v>12</v>
      </c>
      <c r="D60" s="5" t="s">
        <v>3</v>
      </c>
      <c r="E60" s="5" t="s">
        <v>24</v>
      </c>
      <c r="F60" s="5" t="s">
        <v>52</v>
      </c>
      <c r="G60" s="5" t="s">
        <v>68</v>
      </c>
      <c r="H60" s="5" t="s">
        <v>71</v>
      </c>
      <c r="I60" s="5" t="s">
        <v>70</v>
      </c>
      <c r="J60" s="6" t="str">
        <f t="shared" si="1"/>
        <v/>
      </c>
      <c r="K60" s="7"/>
      <c r="L60" s="6" t="str">
        <f t="shared" si="0"/>
        <v/>
      </c>
    </row>
    <row r="61" spans="2:12" x14ac:dyDescent="0.15">
      <c r="B61" s="5" t="s">
        <v>102</v>
      </c>
      <c r="C61" s="5" t="s">
        <v>12</v>
      </c>
      <c r="D61" s="5" t="s">
        <v>24</v>
      </c>
      <c r="E61" s="5" t="s">
        <v>14</v>
      </c>
      <c r="F61" s="5" t="s">
        <v>59</v>
      </c>
      <c r="G61" s="5" t="s">
        <v>16</v>
      </c>
      <c r="H61" s="5" t="s">
        <v>67</v>
      </c>
      <c r="I61" s="5" t="s">
        <v>18</v>
      </c>
      <c r="J61" s="6" t="str">
        <f t="shared" si="1"/>
        <v/>
      </c>
      <c r="K61" s="7"/>
      <c r="L61" s="6" t="str">
        <f t="shared" si="0"/>
        <v/>
      </c>
    </row>
    <row r="62" spans="2:12" x14ac:dyDescent="0.15">
      <c r="B62" s="5" t="s">
        <v>102</v>
      </c>
      <c r="C62" s="5" t="s">
        <v>12</v>
      </c>
      <c r="D62" s="5" t="s">
        <v>3</v>
      </c>
      <c r="E62" s="5" t="s">
        <v>24</v>
      </c>
      <c r="F62" s="5" t="s">
        <v>52</v>
      </c>
      <c r="G62" s="5" t="s">
        <v>16</v>
      </c>
      <c r="H62" s="5" t="s">
        <v>33</v>
      </c>
      <c r="I62" s="5" t="s">
        <v>67</v>
      </c>
      <c r="J62" s="6" t="str">
        <f t="shared" si="1"/>
        <v/>
      </c>
      <c r="K62" s="7"/>
      <c r="L62" s="6" t="str">
        <f t="shared" si="0"/>
        <v/>
      </c>
    </row>
    <row r="63" spans="2:12" x14ac:dyDescent="0.15">
      <c r="B63" s="5" t="s">
        <v>102</v>
      </c>
      <c r="C63" s="5" t="s">
        <v>12</v>
      </c>
      <c r="D63" s="5" t="s">
        <v>3</v>
      </c>
      <c r="E63" s="5" t="s">
        <v>14</v>
      </c>
      <c r="F63" s="5" t="s">
        <v>75</v>
      </c>
      <c r="G63" s="5" t="s">
        <v>49</v>
      </c>
      <c r="H63" s="5" t="s">
        <v>97</v>
      </c>
      <c r="I63" s="5" t="s">
        <v>51</v>
      </c>
      <c r="J63" s="6" t="str">
        <f t="shared" si="1"/>
        <v/>
      </c>
      <c r="K63" s="8"/>
      <c r="L63" s="6" t="str">
        <f t="shared" si="0"/>
        <v/>
      </c>
    </row>
    <row r="64" spans="2:12" x14ac:dyDescent="0.15">
      <c r="B64" s="5" t="s">
        <v>102</v>
      </c>
      <c r="C64" s="5" t="s">
        <v>12</v>
      </c>
      <c r="D64" s="5" t="s">
        <v>28</v>
      </c>
      <c r="E64" s="5" t="s">
        <v>24</v>
      </c>
      <c r="F64" s="5" t="s">
        <v>29</v>
      </c>
      <c r="G64" s="5" t="s">
        <v>49</v>
      </c>
      <c r="H64" s="5" t="s">
        <v>65</v>
      </c>
      <c r="I64" s="5" t="s">
        <v>91</v>
      </c>
      <c r="J64" s="6" t="str">
        <f t="shared" si="1"/>
        <v>Kunal D + Anirudha H</v>
      </c>
      <c r="K64" s="7" t="s">
        <v>31</v>
      </c>
      <c r="L64" s="6" t="str">
        <f t="shared" si="0"/>
        <v>Team 3</v>
      </c>
    </row>
    <row r="65" spans="2:12" x14ac:dyDescent="0.15">
      <c r="B65" s="5" t="s">
        <v>102</v>
      </c>
      <c r="C65" s="5" t="s">
        <v>12</v>
      </c>
      <c r="D65" s="5" t="s">
        <v>28</v>
      </c>
      <c r="E65" s="5" t="s">
        <v>13</v>
      </c>
      <c r="F65" s="5" t="s">
        <v>46</v>
      </c>
      <c r="G65" s="5" t="s">
        <v>40</v>
      </c>
      <c r="H65" s="5" t="s">
        <v>62</v>
      </c>
      <c r="I65" s="5" t="s">
        <v>103</v>
      </c>
      <c r="J65" s="6" t="str">
        <f t="shared" si="1"/>
        <v/>
      </c>
      <c r="K65" s="7"/>
      <c r="L65" s="6" t="str">
        <f t="shared" si="0"/>
        <v/>
      </c>
    </row>
    <row r="66" spans="2:12" x14ac:dyDescent="0.15">
      <c r="B66" s="5" t="s">
        <v>102</v>
      </c>
      <c r="C66" s="5" t="s">
        <v>43</v>
      </c>
      <c r="D66" s="5" t="s">
        <v>2</v>
      </c>
      <c r="E66" s="5" t="s">
        <v>3</v>
      </c>
      <c r="F66" s="5" t="s">
        <v>89</v>
      </c>
      <c r="G66" s="5" t="s">
        <v>16</v>
      </c>
      <c r="H66" s="5" t="s">
        <v>66</v>
      </c>
      <c r="I66" s="5" t="s">
        <v>33</v>
      </c>
      <c r="J66" s="6" t="str">
        <f t="shared" si="1"/>
        <v>Keerthana + Abhiram</v>
      </c>
      <c r="K66" s="7" t="s">
        <v>35</v>
      </c>
      <c r="L66" s="6" t="str">
        <f t="shared" si="0"/>
        <v>Team 2</v>
      </c>
    </row>
    <row r="67" spans="2:12" x14ac:dyDescent="0.15">
      <c r="B67" s="5" t="s">
        <v>102</v>
      </c>
      <c r="C67" s="5" t="s">
        <v>43</v>
      </c>
      <c r="D67" s="5" t="s">
        <v>3</v>
      </c>
      <c r="E67" s="5" t="s">
        <v>13</v>
      </c>
      <c r="F67" s="5" t="s">
        <v>86</v>
      </c>
      <c r="G67" s="5" t="s">
        <v>53</v>
      </c>
      <c r="H67" s="5" t="s">
        <v>54</v>
      </c>
      <c r="I67" s="5" t="s">
        <v>82</v>
      </c>
      <c r="J67" s="6" t="str">
        <f t="shared" si="1"/>
        <v/>
      </c>
      <c r="K67" s="7"/>
      <c r="L67" s="6" t="str">
        <f t="shared" ref="L67:L107" si="2">IF(K67="","",IFERROR(IF(--_xlfn.TEXTBEFORE(K67,"-")&gt;--_xlfn.TEXTAFTER(K67,"-"),D67,IF(--_xlfn.TEXTAFTER(K67,"-")&gt;--_xlfn.TEXTBEFORE(K67,"-"),E67,"Tie")),"Check score"))</f>
        <v/>
      </c>
    </row>
    <row r="68" spans="2:12" x14ac:dyDescent="0.15">
      <c r="B68" s="5" t="s">
        <v>102</v>
      </c>
      <c r="C68" s="5" t="s">
        <v>43</v>
      </c>
      <c r="D68" s="5" t="s">
        <v>24</v>
      </c>
      <c r="E68" s="5" t="s">
        <v>13</v>
      </c>
      <c r="F68" s="5" t="s">
        <v>44</v>
      </c>
      <c r="G68" s="5" t="s">
        <v>36</v>
      </c>
      <c r="H68" s="5" t="s">
        <v>38</v>
      </c>
      <c r="I68" s="5" t="s">
        <v>48</v>
      </c>
      <c r="J68" s="6" t="str">
        <f t="shared" ref="J68:J107" si="3">IF(K68="","",IFERROR(IF(--_xlfn.TEXTBEFORE(K68,"-")&gt;--_xlfn.TEXTAFTER(K68,"-"),H68,IF(--_xlfn.TEXTAFTER(K68,"-")&gt;--_xlfn.TEXTBEFORE(K68,"-"),I68,"Tie")),"Check score"))</f>
        <v>Jay B</v>
      </c>
      <c r="K68" s="7" t="s">
        <v>45</v>
      </c>
      <c r="L68" s="6" t="str">
        <f t="shared" si="2"/>
        <v>Team 4</v>
      </c>
    </row>
    <row r="69" spans="2:12" x14ac:dyDescent="0.15">
      <c r="B69" s="5" t="s">
        <v>102</v>
      </c>
      <c r="C69" s="5" t="s">
        <v>43</v>
      </c>
      <c r="D69" s="5" t="s">
        <v>2</v>
      </c>
      <c r="E69" s="5" t="s">
        <v>28</v>
      </c>
      <c r="F69" s="5" t="s">
        <v>61</v>
      </c>
      <c r="G69" s="5" t="s">
        <v>16</v>
      </c>
      <c r="H69" s="5" t="s">
        <v>66</v>
      </c>
      <c r="I69" s="5" t="s">
        <v>34</v>
      </c>
      <c r="J69" s="6" t="str">
        <f t="shared" si="3"/>
        <v/>
      </c>
      <c r="K69" s="7"/>
      <c r="L69" s="6" t="str">
        <f t="shared" si="2"/>
        <v/>
      </c>
    </row>
    <row r="70" spans="2:12" x14ac:dyDescent="0.15">
      <c r="B70" s="5" t="s">
        <v>102</v>
      </c>
      <c r="C70" s="5" t="s">
        <v>43</v>
      </c>
      <c r="D70" s="5" t="s">
        <v>3</v>
      </c>
      <c r="E70" s="5" t="s">
        <v>24</v>
      </c>
      <c r="F70" s="5" t="s">
        <v>52</v>
      </c>
      <c r="G70" s="5" t="s">
        <v>49</v>
      </c>
      <c r="H70" s="5" t="s">
        <v>97</v>
      </c>
      <c r="I70" s="5" t="s">
        <v>91</v>
      </c>
      <c r="J70" s="6" t="str">
        <f t="shared" si="3"/>
        <v/>
      </c>
      <c r="K70" s="7"/>
      <c r="L70" s="6" t="str">
        <f t="shared" si="2"/>
        <v/>
      </c>
    </row>
    <row r="71" spans="2:12" x14ac:dyDescent="0.15">
      <c r="B71" s="5" t="s">
        <v>102</v>
      </c>
      <c r="C71" s="5" t="s">
        <v>43</v>
      </c>
      <c r="D71" s="5" t="s">
        <v>28</v>
      </c>
      <c r="E71" s="5" t="s">
        <v>14</v>
      </c>
      <c r="F71" s="5" t="s">
        <v>64</v>
      </c>
      <c r="G71" s="5" t="s">
        <v>40</v>
      </c>
      <c r="H71" s="5" t="s">
        <v>62</v>
      </c>
      <c r="I71" s="5" t="s">
        <v>60</v>
      </c>
      <c r="J71" s="6" t="str">
        <f t="shared" si="3"/>
        <v/>
      </c>
      <c r="K71" s="7"/>
      <c r="L71" s="6" t="str">
        <f t="shared" si="2"/>
        <v/>
      </c>
    </row>
    <row r="72" spans="2:12" x14ac:dyDescent="0.15">
      <c r="B72" s="5" t="s">
        <v>102</v>
      </c>
      <c r="C72" s="5" t="s">
        <v>43</v>
      </c>
      <c r="D72" s="5" t="s">
        <v>3</v>
      </c>
      <c r="E72" s="5" t="s">
        <v>28</v>
      </c>
      <c r="F72" s="5" t="s">
        <v>32</v>
      </c>
      <c r="G72" s="5" t="s">
        <v>20</v>
      </c>
      <c r="H72" s="5" t="s">
        <v>88</v>
      </c>
      <c r="I72" s="5" t="s">
        <v>30</v>
      </c>
      <c r="J72" s="6" t="str">
        <f t="shared" si="3"/>
        <v>Vaishnavi M</v>
      </c>
      <c r="K72" s="7" t="s">
        <v>84</v>
      </c>
      <c r="L72" s="6" t="str">
        <f t="shared" si="2"/>
        <v>Team 2</v>
      </c>
    </row>
    <row r="73" spans="2:12" x14ac:dyDescent="0.15">
      <c r="B73" s="5" t="s">
        <v>104</v>
      </c>
      <c r="C73" s="5" t="s">
        <v>12</v>
      </c>
      <c r="D73" s="5" t="s">
        <v>3</v>
      </c>
      <c r="E73" s="5" t="s">
        <v>24</v>
      </c>
      <c r="F73" s="5" t="s">
        <v>52</v>
      </c>
      <c r="G73" s="5" t="s">
        <v>40</v>
      </c>
      <c r="H73" s="5" t="s">
        <v>95</v>
      </c>
      <c r="I73" s="5" t="s">
        <v>42</v>
      </c>
      <c r="J73" s="6" t="str">
        <f t="shared" si="3"/>
        <v/>
      </c>
      <c r="K73" s="8"/>
      <c r="L73" s="6" t="str">
        <f t="shared" si="2"/>
        <v/>
      </c>
    </row>
    <row r="74" spans="2:12" x14ac:dyDescent="0.15">
      <c r="B74" s="5" t="s">
        <v>104</v>
      </c>
      <c r="C74" s="5" t="s">
        <v>12</v>
      </c>
      <c r="D74" s="5" t="s">
        <v>2</v>
      </c>
      <c r="E74" s="5" t="s">
        <v>3</v>
      </c>
      <c r="F74" s="5" t="s">
        <v>89</v>
      </c>
      <c r="G74" s="5" t="s">
        <v>49</v>
      </c>
      <c r="H74" s="5" t="s">
        <v>57</v>
      </c>
      <c r="I74" s="5" t="s">
        <v>97</v>
      </c>
      <c r="J74" s="6" t="str">
        <f t="shared" si="3"/>
        <v/>
      </c>
      <c r="K74" s="8"/>
      <c r="L74" s="6" t="str">
        <f t="shared" si="2"/>
        <v/>
      </c>
    </row>
    <row r="75" spans="2:12" x14ac:dyDescent="0.15">
      <c r="B75" s="5" t="s">
        <v>104</v>
      </c>
      <c r="C75" s="5" t="s">
        <v>12</v>
      </c>
      <c r="D75" s="5" t="s">
        <v>2</v>
      </c>
      <c r="E75" s="5" t="s">
        <v>14</v>
      </c>
      <c r="F75" s="5" t="s">
        <v>72</v>
      </c>
      <c r="G75" s="5" t="s">
        <v>49</v>
      </c>
      <c r="H75" s="5" t="s">
        <v>57</v>
      </c>
      <c r="I75" s="5" t="s">
        <v>51</v>
      </c>
      <c r="J75" s="6" t="str">
        <f t="shared" si="3"/>
        <v/>
      </c>
      <c r="K75" s="7"/>
      <c r="L75" s="6" t="str">
        <f t="shared" si="2"/>
        <v/>
      </c>
    </row>
    <row r="76" spans="2:12" x14ac:dyDescent="0.15">
      <c r="B76" s="5" t="s">
        <v>104</v>
      </c>
      <c r="C76" s="5" t="s">
        <v>12</v>
      </c>
      <c r="D76" s="5" t="s">
        <v>2</v>
      </c>
      <c r="E76" s="5" t="s">
        <v>14</v>
      </c>
      <c r="F76" s="5" t="s">
        <v>72</v>
      </c>
      <c r="G76" s="5" t="s">
        <v>20</v>
      </c>
      <c r="H76" s="5" t="s">
        <v>26</v>
      </c>
      <c r="I76" s="5" t="s">
        <v>22</v>
      </c>
      <c r="J76" s="6" t="str">
        <f t="shared" si="3"/>
        <v/>
      </c>
      <c r="K76" s="7"/>
      <c r="L76" s="6" t="str">
        <f t="shared" si="2"/>
        <v/>
      </c>
    </row>
    <row r="77" spans="2:12" x14ac:dyDescent="0.15">
      <c r="B77" s="5" t="s">
        <v>104</v>
      </c>
      <c r="C77" s="5" t="s">
        <v>12</v>
      </c>
      <c r="D77" s="5" t="s">
        <v>2</v>
      </c>
      <c r="E77" s="5" t="s">
        <v>28</v>
      </c>
      <c r="F77" s="5" t="s">
        <v>61</v>
      </c>
      <c r="G77" s="5" t="s">
        <v>49</v>
      </c>
      <c r="H77" s="5" t="s">
        <v>57</v>
      </c>
      <c r="I77" s="5" t="s">
        <v>65</v>
      </c>
      <c r="J77" s="6" t="str">
        <f t="shared" si="3"/>
        <v>Kunal D + Anirudha H</v>
      </c>
      <c r="K77" s="7" t="s">
        <v>35</v>
      </c>
      <c r="L77" s="6" t="str">
        <f t="shared" si="2"/>
        <v>Team 3</v>
      </c>
    </row>
    <row r="78" spans="2:12" x14ac:dyDescent="0.15">
      <c r="B78" s="5" t="s">
        <v>104</v>
      </c>
      <c r="C78" s="5" t="s">
        <v>12</v>
      </c>
      <c r="D78" s="5" t="s">
        <v>2</v>
      </c>
      <c r="E78" s="5" t="s">
        <v>14</v>
      </c>
      <c r="F78" s="5" t="s">
        <v>72</v>
      </c>
      <c r="G78" s="5" t="s">
        <v>40</v>
      </c>
      <c r="H78" s="5" t="s">
        <v>41</v>
      </c>
      <c r="I78" s="5" t="s">
        <v>60</v>
      </c>
      <c r="J78" s="6" t="str">
        <f t="shared" si="3"/>
        <v/>
      </c>
      <c r="K78" s="7"/>
      <c r="L78" s="6" t="str">
        <f t="shared" si="2"/>
        <v/>
      </c>
    </row>
    <row r="79" spans="2:12" x14ac:dyDescent="0.15">
      <c r="B79" s="5" t="s">
        <v>104</v>
      </c>
      <c r="C79" s="5" t="s">
        <v>12</v>
      </c>
      <c r="D79" s="5" t="s">
        <v>3</v>
      </c>
      <c r="E79" s="5" t="s">
        <v>24</v>
      </c>
      <c r="F79" s="5" t="s">
        <v>52</v>
      </c>
      <c r="G79" s="5" t="s">
        <v>20</v>
      </c>
      <c r="H79" s="5" t="s">
        <v>88</v>
      </c>
      <c r="I79" s="5" t="s">
        <v>27</v>
      </c>
      <c r="J79" s="6" t="str">
        <f t="shared" si="3"/>
        <v>Vaishnavi M</v>
      </c>
      <c r="K79" s="7" t="s">
        <v>31</v>
      </c>
      <c r="L79" s="6" t="str">
        <f t="shared" si="2"/>
        <v>Team 2</v>
      </c>
    </row>
    <row r="80" spans="2:12" x14ac:dyDescent="0.15">
      <c r="B80" s="5" t="s">
        <v>104</v>
      </c>
      <c r="C80" s="5" t="s">
        <v>43</v>
      </c>
      <c r="D80" s="5" t="s">
        <v>24</v>
      </c>
      <c r="E80" s="5" t="s">
        <v>14</v>
      </c>
      <c r="F80" s="5" t="s">
        <v>59</v>
      </c>
      <c r="G80" s="5" t="s">
        <v>20</v>
      </c>
      <c r="H80" s="5" t="s">
        <v>27</v>
      </c>
      <c r="I80" s="5" t="s">
        <v>22</v>
      </c>
      <c r="J80" s="6" t="str">
        <f t="shared" si="3"/>
        <v>Neha P Jain</v>
      </c>
      <c r="K80" s="7" t="s">
        <v>105</v>
      </c>
      <c r="L80" s="6" t="str">
        <f t="shared" si="2"/>
        <v>Team 6</v>
      </c>
    </row>
    <row r="81" spans="2:12" x14ac:dyDescent="0.15">
      <c r="B81" s="5" t="s">
        <v>104</v>
      </c>
      <c r="C81" s="5" t="s">
        <v>43</v>
      </c>
      <c r="D81" s="5" t="s">
        <v>24</v>
      </c>
      <c r="E81" s="5" t="s">
        <v>14</v>
      </c>
      <c r="F81" s="5" t="s">
        <v>59</v>
      </c>
      <c r="G81" s="5" t="s">
        <v>49</v>
      </c>
      <c r="H81" s="5" t="s">
        <v>91</v>
      </c>
      <c r="I81" s="5" t="s">
        <v>51</v>
      </c>
      <c r="J81" s="6" t="str">
        <f t="shared" si="3"/>
        <v/>
      </c>
      <c r="K81" s="7"/>
      <c r="L81" s="6" t="str">
        <f t="shared" si="2"/>
        <v/>
      </c>
    </row>
    <row r="82" spans="2:12" x14ac:dyDescent="0.15">
      <c r="B82" s="5" t="s">
        <v>104</v>
      </c>
      <c r="C82" s="5" t="s">
        <v>43</v>
      </c>
      <c r="D82" s="5" t="s">
        <v>24</v>
      </c>
      <c r="E82" s="5" t="s">
        <v>13</v>
      </c>
      <c r="F82" s="5" t="s">
        <v>44</v>
      </c>
      <c r="G82" s="5" t="s">
        <v>40</v>
      </c>
      <c r="H82" s="5" t="s">
        <v>42</v>
      </c>
      <c r="I82" s="5" t="s">
        <v>103</v>
      </c>
      <c r="J82" s="6" t="str">
        <f t="shared" si="3"/>
        <v/>
      </c>
      <c r="K82" s="7"/>
      <c r="L82" s="6" t="str">
        <f t="shared" si="2"/>
        <v/>
      </c>
    </row>
    <row r="83" spans="2:12" x14ac:dyDescent="0.15">
      <c r="B83" s="5" t="s">
        <v>104</v>
      </c>
      <c r="C83" s="5" t="s">
        <v>43</v>
      </c>
      <c r="D83" s="5" t="s">
        <v>2</v>
      </c>
      <c r="E83" s="5" t="s">
        <v>28</v>
      </c>
      <c r="F83" s="5" t="s">
        <v>61</v>
      </c>
      <c r="G83" s="5" t="s">
        <v>20</v>
      </c>
      <c r="H83" s="5" t="s">
        <v>26</v>
      </c>
      <c r="I83" s="5" t="s">
        <v>30</v>
      </c>
      <c r="J83" s="6" t="str">
        <f t="shared" si="3"/>
        <v/>
      </c>
      <c r="K83" s="8"/>
      <c r="L83" s="6" t="str">
        <f t="shared" si="2"/>
        <v/>
      </c>
    </row>
    <row r="84" spans="2:12" x14ac:dyDescent="0.15">
      <c r="B84" s="5" t="s">
        <v>104</v>
      </c>
      <c r="C84" s="5" t="s">
        <v>43</v>
      </c>
      <c r="D84" s="5" t="s">
        <v>2</v>
      </c>
      <c r="E84" s="5" t="s">
        <v>3</v>
      </c>
      <c r="F84" s="5" t="s">
        <v>89</v>
      </c>
      <c r="G84" s="5" t="s">
        <v>20</v>
      </c>
      <c r="H84" s="5" t="s">
        <v>26</v>
      </c>
      <c r="I84" s="5" t="s">
        <v>88</v>
      </c>
      <c r="J84" s="6" t="str">
        <f t="shared" si="3"/>
        <v/>
      </c>
      <c r="K84" s="8"/>
      <c r="L84" s="6" t="str">
        <f t="shared" si="2"/>
        <v/>
      </c>
    </row>
    <row r="85" spans="2:12" x14ac:dyDescent="0.15">
      <c r="B85" s="5" t="s">
        <v>104</v>
      </c>
      <c r="C85" s="5" t="s">
        <v>43</v>
      </c>
      <c r="D85" s="5" t="s">
        <v>24</v>
      </c>
      <c r="E85" s="5" t="s">
        <v>13</v>
      </c>
      <c r="F85" s="5" t="s">
        <v>44</v>
      </c>
      <c r="G85" s="5" t="s">
        <v>16</v>
      </c>
      <c r="H85" s="5" t="s">
        <v>67</v>
      </c>
      <c r="I85" s="5" t="s">
        <v>17</v>
      </c>
      <c r="J85" s="6" t="str">
        <f t="shared" si="3"/>
        <v/>
      </c>
      <c r="K85" s="7"/>
      <c r="L85" s="6" t="str">
        <f t="shared" si="2"/>
        <v/>
      </c>
    </row>
    <row r="86" spans="2:12" x14ac:dyDescent="0.15">
      <c r="B86" s="5" t="s">
        <v>104</v>
      </c>
      <c r="C86" s="5" t="s">
        <v>43</v>
      </c>
      <c r="D86" s="5" t="s">
        <v>3</v>
      </c>
      <c r="E86" s="5" t="s">
        <v>14</v>
      </c>
      <c r="F86" s="5" t="s">
        <v>75</v>
      </c>
      <c r="G86" s="5" t="s">
        <v>53</v>
      </c>
      <c r="H86" s="5" t="s">
        <v>54</v>
      </c>
      <c r="I86" s="5" t="s">
        <v>74</v>
      </c>
      <c r="J86" s="6" t="str">
        <f t="shared" si="3"/>
        <v>Rohan + Bhuvanesh</v>
      </c>
      <c r="K86" s="7" t="s">
        <v>106</v>
      </c>
      <c r="L86" s="6" t="str">
        <f t="shared" si="2"/>
        <v>Team 6</v>
      </c>
    </row>
    <row r="87" spans="2:12" x14ac:dyDescent="0.15">
      <c r="B87" s="5" t="s">
        <v>107</v>
      </c>
      <c r="C87" s="5" t="s">
        <v>12</v>
      </c>
      <c r="D87" s="5" t="s">
        <v>13</v>
      </c>
      <c r="E87" s="5" t="s">
        <v>14</v>
      </c>
      <c r="F87" s="5" t="s">
        <v>15</v>
      </c>
      <c r="G87" s="5" t="s">
        <v>53</v>
      </c>
      <c r="H87" s="5" t="s">
        <v>82</v>
      </c>
      <c r="I87" s="5" t="s">
        <v>74</v>
      </c>
      <c r="J87" s="6" t="str">
        <f t="shared" si="3"/>
        <v>Rohan + Bhuvanesh</v>
      </c>
      <c r="K87" s="7" t="s">
        <v>108</v>
      </c>
      <c r="L87" s="6" t="str">
        <f t="shared" si="2"/>
        <v>Team 6</v>
      </c>
    </row>
    <row r="88" spans="2:12" x14ac:dyDescent="0.15">
      <c r="B88" s="5" t="s">
        <v>107</v>
      </c>
      <c r="C88" s="5" t="s">
        <v>12</v>
      </c>
      <c r="D88" s="5" t="s">
        <v>2</v>
      </c>
      <c r="E88" s="5" t="s">
        <v>28</v>
      </c>
      <c r="F88" s="5" t="s">
        <v>61</v>
      </c>
      <c r="G88" s="5" t="s">
        <v>36</v>
      </c>
      <c r="H88" s="5" t="s">
        <v>37</v>
      </c>
      <c r="I88" s="5" t="s">
        <v>47</v>
      </c>
      <c r="J88" s="6" t="str">
        <f t="shared" si="3"/>
        <v/>
      </c>
      <c r="K88" s="7"/>
      <c r="L88" s="6" t="str">
        <f t="shared" si="2"/>
        <v/>
      </c>
    </row>
    <row r="89" spans="2:12" x14ac:dyDescent="0.15">
      <c r="B89" s="5" t="s">
        <v>107</v>
      </c>
      <c r="C89" s="5" t="s">
        <v>12</v>
      </c>
      <c r="D89" s="5" t="s">
        <v>2</v>
      </c>
      <c r="E89" s="5" t="s">
        <v>13</v>
      </c>
      <c r="F89" s="5" t="s">
        <v>56</v>
      </c>
      <c r="G89" s="5" t="s">
        <v>40</v>
      </c>
      <c r="H89" s="5" t="s">
        <v>41</v>
      </c>
      <c r="I89" s="5" t="s">
        <v>103</v>
      </c>
      <c r="J89" s="6" t="str">
        <f t="shared" si="3"/>
        <v/>
      </c>
      <c r="K89" s="7"/>
      <c r="L89" s="6" t="str">
        <f t="shared" si="2"/>
        <v/>
      </c>
    </row>
    <row r="90" spans="2:12" x14ac:dyDescent="0.15">
      <c r="B90" s="5" t="s">
        <v>107</v>
      </c>
      <c r="C90" s="5" t="s">
        <v>12</v>
      </c>
      <c r="D90" s="5" t="s">
        <v>2</v>
      </c>
      <c r="E90" s="5" t="s">
        <v>24</v>
      </c>
      <c r="F90" s="5" t="s">
        <v>25</v>
      </c>
      <c r="G90" s="5" t="s">
        <v>53</v>
      </c>
      <c r="H90" s="5" t="s">
        <v>73</v>
      </c>
      <c r="I90" s="5" t="s">
        <v>55</v>
      </c>
      <c r="J90" s="6" t="str">
        <f t="shared" si="3"/>
        <v>Khush B + Hemanth</v>
      </c>
      <c r="K90" s="7" t="s">
        <v>39</v>
      </c>
      <c r="L90" s="6" t="str">
        <f t="shared" si="2"/>
        <v>Team 4</v>
      </c>
    </row>
    <row r="91" spans="2:12" x14ac:dyDescent="0.15">
      <c r="B91" s="5" t="s">
        <v>107</v>
      </c>
      <c r="C91" s="5" t="s">
        <v>12</v>
      </c>
      <c r="D91" s="5" t="s">
        <v>2</v>
      </c>
      <c r="E91" s="5" t="s">
        <v>14</v>
      </c>
      <c r="F91" s="5" t="s">
        <v>72</v>
      </c>
      <c r="G91" s="5" t="s">
        <v>68</v>
      </c>
      <c r="H91" s="5" t="s">
        <v>90</v>
      </c>
      <c r="I91" s="5" t="s">
        <v>79</v>
      </c>
      <c r="J91" s="6" t="str">
        <f t="shared" si="3"/>
        <v>Anshul</v>
      </c>
      <c r="K91" s="7" t="s">
        <v>39</v>
      </c>
      <c r="L91" s="6" t="str">
        <f t="shared" si="2"/>
        <v>Team 6</v>
      </c>
    </row>
    <row r="92" spans="2:12" x14ac:dyDescent="0.15">
      <c r="B92" s="5" t="s">
        <v>107</v>
      </c>
      <c r="C92" s="5" t="s">
        <v>12</v>
      </c>
      <c r="D92" s="5" t="s">
        <v>28</v>
      </c>
      <c r="E92" s="5" t="s">
        <v>13</v>
      </c>
      <c r="F92" s="5" t="s">
        <v>46</v>
      </c>
      <c r="G92" s="5" t="s">
        <v>68</v>
      </c>
      <c r="H92" s="5" t="s">
        <v>69</v>
      </c>
      <c r="I92" s="5" t="s">
        <v>83</v>
      </c>
      <c r="J92" s="6" t="str">
        <f t="shared" si="3"/>
        <v>Pavan D</v>
      </c>
      <c r="K92" s="7" t="s">
        <v>92</v>
      </c>
      <c r="L92" s="6" t="str">
        <f t="shared" si="2"/>
        <v>Team 5</v>
      </c>
    </row>
    <row r="93" spans="2:12" x14ac:dyDescent="0.15">
      <c r="B93" s="5" t="s">
        <v>107</v>
      </c>
      <c r="C93" s="5" t="s">
        <v>12</v>
      </c>
      <c r="D93" s="5" t="s">
        <v>28</v>
      </c>
      <c r="E93" s="5" t="s">
        <v>14</v>
      </c>
      <c r="F93" s="5" t="s">
        <v>64</v>
      </c>
      <c r="G93" s="5" t="s">
        <v>53</v>
      </c>
      <c r="H93" s="5" t="s">
        <v>81</v>
      </c>
      <c r="I93" s="5" t="s">
        <v>74</v>
      </c>
      <c r="J93" s="5" t="s">
        <v>74</v>
      </c>
      <c r="K93" s="8" t="s">
        <v>35</v>
      </c>
      <c r="L93" s="6" t="str">
        <f t="shared" si="2"/>
        <v>Team 6</v>
      </c>
    </row>
    <row r="94" spans="2:12" x14ac:dyDescent="0.15">
      <c r="B94" s="5" t="s">
        <v>107</v>
      </c>
      <c r="C94" s="5" t="s">
        <v>43</v>
      </c>
      <c r="D94" s="5" t="s">
        <v>2</v>
      </c>
      <c r="E94" s="5" t="s">
        <v>14</v>
      </c>
      <c r="F94" s="5" t="s">
        <v>72</v>
      </c>
      <c r="G94" s="5" t="s">
        <v>16</v>
      </c>
      <c r="H94" s="5" t="s">
        <v>66</v>
      </c>
      <c r="I94" s="5" t="s">
        <v>18</v>
      </c>
      <c r="J94" s="6" t="str">
        <f t="shared" si="3"/>
        <v/>
      </c>
      <c r="K94" s="8"/>
      <c r="L94" s="6" t="str">
        <f t="shared" si="2"/>
        <v/>
      </c>
    </row>
    <row r="95" spans="2:12" x14ac:dyDescent="0.15">
      <c r="B95" s="5" t="s">
        <v>107</v>
      </c>
      <c r="C95" s="5" t="s">
        <v>43</v>
      </c>
      <c r="D95" s="5" t="s">
        <v>3</v>
      </c>
      <c r="E95" s="5" t="s">
        <v>24</v>
      </c>
      <c r="F95" s="5" t="s">
        <v>52</v>
      </c>
      <c r="G95" s="5" t="s">
        <v>36</v>
      </c>
      <c r="H95" s="5" t="s">
        <v>76</v>
      </c>
      <c r="I95" s="5" t="s">
        <v>38</v>
      </c>
      <c r="J95" s="6" t="str">
        <f t="shared" si="3"/>
        <v>Jay B</v>
      </c>
      <c r="K95" s="7" t="s">
        <v>109</v>
      </c>
      <c r="L95" s="6" t="str">
        <f t="shared" si="2"/>
        <v>Team 4</v>
      </c>
    </row>
    <row r="96" spans="2:12" x14ac:dyDescent="0.15">
      <c r="B96" s="5" t="s">
        <v>107</v>
      </c>
      <c r="C96" s="5" t="s">
        <v>43</v>
      </c>
      <c r="D96" s="5" t="s">
        <v>3</v>
      </c>
      <c r="E96" s="5" t="s">
        <v>28</v>
      </c>
      <c r="F96" s="5" t="s">
        <v>32</v>
      </c>
      <c r="G96" s="5" t="s">
        <v>49</v>
      </c>
      <c r="H96" s="5" t="s">
        <v>97</v>
      </c>
      <c r="I96" s="5" t="s">
        <v>65</v>
      </c>
      <c r="J96" s="6" t="str">
        <f t="shared" si="3"/>
        <v/>
      </c>
      <c r="K96" s="7"/>
      <c r="L96" s="6" t="str">
        <f t="shared" si="2"/>
        <v/>
      </c>
    </row>
    <row r="97" spans="2:12" x14ac:dyDescent="0.15">
      <c r="B97" s="5" t="s">
        <v>107</v>
      </c>
      <c r="C97" s="5" t="s">
        <v>43</v>
      </c>
      <c r="D97" s="5" t="s">
        <v>2</v>
      </c>
      <c r="E97" s="5" t="s">
        <v>13</v>
      </c>
      <c r="F97" s="5" t="s">
        <v>56</v>
      </c>
      <c r="G97" s="5" t="s">
        <v>36</v>
      </c>
      <c r="H97" s="5" t="s">
        <v>37</v>
      </c>
      <c r="I97" s="5" t="s">
        <v>48</v>
      </c>
      <c r="J97" s="6" t="str">
        <f t="shared" si="3"/>
        <v/>
      </c>
      <c r="K97" s="7"/>
      <c r="L97" s="6" t="str">
        <f t="shared" si="2"/>
        <v/>
      </c>
    </row>
    <row r="98" spans="2:12" x14ac:dyDescent="0.15">
      <c r="B98" s="5" t="s">
        <v>107</v>
      </c>
      <c r="C98" s="5" t="s">
        <v>43</v>
      </c>
      <c r="D98" s="5" t="s">
        <v>28</v>
      </c>
      <c r="E98" s="5" t="s">
        <v>24</v>
      </c>
      <c r="F98" s="5" t="s">
        <v>29</v>
      </c>
      <c r="G98" s="5" t="s">
        <v>36</v>
      </c>
      <c r="H98" s="5" t="s">
        <v>47</v>
      </c>
      <c r="I98" s="5" t="s">
        <v>38</v>
      </c>
      <c r="J98" s="6" t="str">
        <f t="shared" si="3"/>
        <v/>
      </c>
      <c r="K98" s="7"/>
      <c r="L98" s="6" t="str">
        <f t="shared" si="2"/>
        <v/>
      </c>
    </row>
    <row r="99" spans="2:12" x14ac:dyDescent="0.15">
      <c r="B99" s="5" t="s">
        <v>107</v>
      </c>
      <c r="C99" s="5" t="s">
        <v>43</v>
      </c>
      <c r="D99" s="5" t="s">
        <v>3</v>
      </c>
      <c r="E99" s="5" t="s">
        <v>13</v>
      </c>
      <c r="F99" s="5" t="s">
        <v>86</v>
      </c>
      <c r="G99" s="5" t="s">
        <v>40</v>
      </c>
      <c r="H99" s="5" t="s">
        <v>95</v>
      </c>
      <c r="I99" s="5" t="s">
        <v>103</v>
      </c>
      <c r="J99" s="6" t="str">
        <f t="shared" si="3"/>
        <v/>
      </c>
      <c r="K99" s="7"/>
      <c r="L99" s="6" t="str">
        <f t="shared" si="2"/>
        <v/>
      </c>
    </row>
    <row r="100" spans="2:12" x14ac:dyDescent="0.15">
      <c r="B100" s="5" t="s">
        <v>107</v>
      </c>
      <c r="C100" s="5" t="s">
        <v>43</v>
      </c>
      <c r="D100" s="5" t="s">
        <v>2</v>
      </c>
      <c r="E100" s="5" t="s">
        <v>3</v>
      </c>
      <c r="F100" s="5" t="s">
        <v>89</v>
      </c>
      <c r="G100" s="5" t="s">
        <v>36</v>
      </c>
      <c r="H100" s="5" t="s">
        <v>37</v>
      </c>
      <c r="I100" s="5" t="s">
        <v>76</v>
      </c>
      <c r="J100" s="6" t="str">
        <f t="shared" si="3"/>
        <v>Aman Doshi</v>
      </c>
      <c r="K100" s="7" t="s">
        <v>87</v>
      </c>
      <c r="L100" s="6" t="str">
        <f t="shared" si="2"/>
        <v>Team 1</v>
      </c>
    </row>
    <row r="101" spans="2:12" x14ac:dyDescent="0.15">
      <c r="B101" s="5" t="s">
        <v>110</v>
      </c>
      <c r="C101" s="5" t="s">
        <v>12</v>
      </c>
      <c r="D101" s="5" t="s">
        <v>13</v>
      </c>
      <c r="E101" s="5" t="s">
        <v>14</v>
      </c>
      <c r="F101" s="5" t="s">
        <v>15</v>
      </c>
      <c r="G101" s="5" t="s">
        <v>36</v>
      </c>
      <c r="H101" s="5" t="s">
        <v>48</v>
      </c>
      <c r="I101" s="5" t="s">
        <v>77</v>
      </c>
      <c r="J101" s="6" t="s">
        <v>48</v>
      </c>
      <c r="K101" s="9" t="s">
        <v>111</v>
      </c>
      <c r="L101" s="6" t="str">
        <f t="shared" si="2"/>
        <v>Team 5</v>
      </c>
    </row>
    <row r="102" spans="2:12" x14ac:dyDescent="0.15">
      <c r="B102" s="5" t="s">
        <v>110</v>
      </c>
      <c r="C102" s="5" t="s">
        <v>12</v>
      </c>
      <c r="D102" s="5" t="s">
        <v>28</v>
      </c>
      <c r="E102" s="5" t="s">
        <v>14</v>
      </c>
      <c r="F102" s="5" t="s">
        <v>64</v>
      </c>
      <c r="G102" s="5" t="s">
        <v>68</v>
      </c>
      <c r="H102" s="5" t="s">
        <v>69</v>
      </c>
      <c r="I102" s="5" t="s">
        <v>79</v>
      </c>
      <c r="J102" s="6" t="str">
        <f t="shared" si="3"/>
        <v>Sujal</v>
      </c>
      <c r="K102" s="7" t="s">
        <v>19</v>
      </c>
      <c r="L102" s="6" t="str">
        <f t="shared" si="2"/>
        <v>Team 3</v>
      </c>
    </row>
    <row r="103" spans="2:12" x14ac:dyDescent="0.15">
      <c r="B103" s="5" t="s">
        <v>110</v>
      </c>
      <c r="C103" s="5" t="s">
        <v>12</v>
      </c>
      <c r="D103" s="5" t="s">
        <v>2</v>
      </c>
      <c r="E103" s="5" t="s">
        <v>13</v>
      </c>
      <c r="F103" s="5" t="s">
        <v>56</v>
      </c>
      <c r="G103" s="5" t="s">
        <v>68</v>
      </c>
      <c r="H103" s="5" t="s">
        <v>90</v>
      </c>
      <c r="I103" s="5" t="s">
        <v>83</v>
      </c>
      <c r="J103" s="6" t="str">
        <f t="shared" si="3"/>
        <v/>
      </c>
      <c r="K103" s="8"/>
      <c r="L103" s="6" t="str">
        <f t="shared" si="2"/>
        <v/>
      </c>
    </row>
    <row r="104" spans="2:12" x14ac:dyDescent="0.15">
      <c r="B104" s="5" t="s">
        <v>110</v>
      </c>
      <c r="C104" s="5" t="s">
        <v>12</v>
      </c>
      <c r="D104" s="5" t="s">
        <v>28</v>
      </c>
      <c r="E104" s="5" t="s">
        <v>13</v>
      </c>
      <c r="F104" s="5" t="s">
        <v>46</v>
      </c>
      <c r="G104" s="5" t="s">
        <v>16</v>
      </c>
      <c r="H104" s="5" t="s">
        <v>34</v>
      </c>
      <c r="I104" s="5" t="s">
        <v>17</v>
      </c>
      <c r="J104" s="6" t="str">
        <f t="shared" si="3"/>
        <v/>
      </c>
      <c r="K104" s="8"/>
      <c r="L104" s="6" t="str">
        <f t="shared" si="2"/>
        <v/>
      </c>
    </row>
    <row r="105" spans="2:12" x14ac:dyDescent="0.15">
      <c r="B105" s="5" t="s">
        <v>110</v>
      </c>
      <c r="C105" s="5" t="s">
        <v>12</v>
      </c>
      <c r="D105" s="5" t="s">
        <v>13</v>
      </c>
      <c r="E105" s="5" t="s">
        <v>14</v>
      </c>
      <c r="F105" s="5" t="s">
        <v>15</v>
      </c>
      <c r="G105" s="5" t="s">
        <v>40</v>
      </c>
      <c r="H105" s="5" t="s">
        <v>103</v>
      </c>
      <c r="I105" s="5" t="s">
        <v>60</v>
      </c>
      <c r="J105" s="6" t="str">
        <f t="shared" si="3"/>
        <v/>
      </c>
      <c r="K105" s="7"/>
      <c r="L105" s="6" t="str">
        <f t="shared" si="2"/>
        <v/>
      </c>
    </row>
    <row r="106" spans="2:12" x14ac:dyDescent="0.15">
      <c r="B106" s="5" t="s">
        <v>110</v>
      </c>
      <c r="C106" s="5" t="s">
        <v>12</v>
      </c>
      <c r="D106" s="5" t="s">
        <v>28</v>
      </c>
      <c r="E106" s="5" t="s">
        <v>13</v>
      </c>
      <c r="F106" s="5" t="s">
        <v>46</v>
      </c>
      <c r="G106" s="5" t="s">
        <v>53</v>
      </c>
      <c r="H106" s="5" t="s">
        <v>81</v>
      </c>
      <c r="I106" s="5" t="s">
        <v>82</v>
      </c>
      <c r="J106" s="6" t="str">
        <f t="shared" si="3"/>
        <v>Sarvesh H + Deviprasad</v>
      </c>
      <c r="K106" s="7" t="s">
        <v>98</v>
      </c>
      <c r="L106" s="6" t="str">
        <f t="shared" si="2"/>
        <v>Team 3</v>
      </c>
    </row>
    <row r="107" spans="2:12" x14ac:dyDescent="0.15">
      <c r="B107" s="5" t="s">
        <v>110</v>
      </c>
      <c r="C107" s="5" t="s">
        <v>12</v>
      </c>
      <c r="D107" s="5" t="s">
        <v>2</v>
      </c>
      <c r="E107" s="5" t="s">
        <v>28</v>
      </c>
      <c r="F107" s="5" t="s">
        <v>61</v>
      </c>
      <c r="G107" s="5" t="s">
        <v>68</v>
      </c>
      <c r="H107" s="5" t="s">
        <v>90</v>
      </c>
      <c r="I107" s="5" t="s">
        <v>69</v>
      </c>
      <c r="J107" s="6" t="str">
        <f t="shared" si="3"/>
        <v>Sujal</v>
      </c>
      <c r="K107" s="7" t="s">
        <v>106</v>
      </c>
      <c r="L107" s="6" t="str">
        <f t="shared" si="2"/>
        <v>Team 3</v>
      </c>
    </row>
    <row r="108" spans="2:12" x14ac:dyDescent="0.15">
      <c r="K108" s="10"/>
    </row>
    <row r="109" spans="2:12" x14ac:dyDescent="0.15">
      <c r="K109" s="10"/>
    </row>
    <row r="110" spans="2:12" x14ac:dyDescent="0.15">
      <c r="K110" s="10"/>
    </row>
    <row r="111" spans="2:12" x14ac:dyDescent="0.15">
      <c r="K111" s="10"/>
    </row>
    <row r="112" spans="2:12" x14ac:dyDescent="0.15">
      <c r="K112" s="10"/>
    </row>
  </sheetData>
  <autoFilter ref="B2:L107" xr:uid="{8D08637B-F719-49C8-8CD0-A0482E45DECD}"/>
  <conditionalFormatting sqref="J3:K92 K93 J94:K102 J103:J107 K103:K112">
    <cfRule type="expression" dxfId="21" priority="1">
      <formula>J3&lt;&gt;""</formula>
    </cfRule>
  </conditionalFormatting>
  <dataValidations count="2">
    <dataValidation allowBlank="1" showInputMessage="1" showErrorMessage="1" errorTitle="Invalid score" error="Enter two non-negative numbers separated by a hyphen, for example 21-15." promptTitle="Enter match score" prompt="Use Team 1-Team 2 format, for example 21-15." sqref="K3:K112" xr:uid="{02EC7177-6BB3-42BC-B990-48CD276B2233}"/>
    <dataValidation type="list" allowBlank="1" error="Choose Participant 1 or Participant 2." prompt="Select the winning participant/pair." sqref="J3:J92 J94:J107" xr:uid="{BE0FC663-BD61-4F4D-A337-83486A8DA61E}">
      <formula1>$H3:$I3</formula1>
    </dataValidation>
  </dataValidations>
  <pageMargins left="0.25" right="0.25" top="0.75" bottom="0.75" header="0.3" footer="0.3"/>
  <pageSetup paperSize="9" scale="6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FC1A8-9B48-4F3D-856B-09072A1834D8}">
  <dimension ref="A1:K96"/>
  <sheetViews>
    <sheetView topLeftCell="A71" workbookViewId="0">
      <selection activeCell="J3" sqref="J3"/>
    </sheetView>
  </sheetViews>
  <sheetFormatPr baseColWidth="10" defaultColWidth="8.6640625" defaultRowHeight="12" x14ac:dyDescent="0.15"/>
  <cols>
    <col min="1" max="1" width="14.1640625" style="4" customWidth="1"/>
    <col min="2" max="4" width="11.83203125" style="4" customWidth="1"/>
    <col min="5" max="5" width="14.83203125" style="4" customWidth="1"/>
    <col min="6" max="6" width="3.33203125" style="4" customWidth="1"/>
    <col min="7" max="7" width="9.5" style="4" customWidth="1"/>
    <col min="8" max="8" width="15.33203125" style="4" customWidth="1"/>
    <col min="9" max="10" width="12.5" style="4" customWidth="1"/>
    <col min="11" max="16384" width="8.6640625" style="4"/>
  </cols>
  <sheetData>
    <row r="1" spans="1:11" x14ac:dyDescent="0.15">
      <c r="A1" s="35" t="s">
        <v>112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x14ac:dyDescent="0.15">
      <c r="A2" s="34" t="s">
        <v>113</v>
      </c>
      <c r="B2" s="34"/>
      <c r="C2" s="34"/>
      <c r="D2" s="34"/>
      <c r="E2" s="34"/>
      <c r="F2" s="34"/>
      <c r="G2" s="34"/>
      <c r="H2" s="34"/>
      <c r="I2" s="34"/>
      <c r="J2" s="34"/>
      <c r="K2" s="34"/>
    </row>
    <row r="3" spans="1:11" x14ac:dyDescent="0.15">
      <c r="A3" s="12" t="s">
        <v>114</v>
      </c>
      <c r="B3" s="12" t="s">
        <v>115</v>
      </c>
      <c r="C3" s="12" t="s">
        <v>116</v>
      </c>
      <c r="D3" s="12" t="s">
        <v>117</v>
      </c>
      <c r="E3" s="12" t="s">
        <v>118</v>
      </c>
      <c r="F3" s="13"/>
      <c r="G3" s="14" t="s">
        <v>117</v>
      </c>
      <c r="H3" s="14" t="s">
        <v>119</v>
      </c>
      <c r="I3" s="14" t="s">
        <v>115</v>
      </c>
      <c r="J3" s="14" t="s">
        <v>116</v>
      </c>
      <c r="K3" s="13"/>
    </row>
    <row r="4" spans="1:11" x14ac:dyDescent="0.15">
      <c r="A4" s="15" t="s">
        <v>2</v>
      </c>
      <c r="B4" s="16">
        <f>COUNTIFS('Shuffled Matches'!$L$3:$L$107,A4,'Shuffled Matches'!$G$3:$G$107,"Women's Singles")</f>
        <v>0</v>
      </c>
      <c r="C4" s="16" cm="1">
        <f t="array" ref="C4">SUMPRODUCT(('Shuffled Matches'!$D$3:$D$107=A4)*('Shuffled Matches'!$G$3:$G$107="Women's Singles")*IFERROR(--_xlfn.TEXTBEFORE('Shuffled Matches'!$K$3:$K$107,"-"),0))+SUMPRODUCT(('Shuffled Matches'!$E$3:$E$107=A4)*('Shuffled Matches'!$G$3:$G$107="Women's Singles")*IFERROR(--_xlfn.TEXTAFTER('Shuffled Matches'!$K$3:$K$107,"-"),0))</f>
        <v>0</v>
      </c>
      <c r="D4" s="16">
        <f t="shared" ref="D4:D9" si="0">1+COUNTIF($B$4:$B$9,"&gt;"&amp;B4)+COUNTIFS($B$4:$B$9,B4,$C$4:$C$9,"&gt;"&amp;C4)+COUNTIFS($B$4:$B$9,B4,$C$4:$C$9,C4,$A$4:$A$9,"&lt;"&amp;A4)</f>
        <v>6</v>
      </c>
      <c r="E4" s="13" t="str">
        <f>IF(COUNTIFS('Shuffled Matches'!$G$3:$G$107,"Women's Singles",'Shuffled Matches'!$K$3:$K$107,"&lt;&gt;")=0,"Pending",IF(D4&lt;=4,"Top 4","Eliminated"))</f>
        <v>Eliminated</v>
      </c>
      <c r="F4" s="13"/>
      <c r="G4" s="17">
        <v>1</v>
      </c>
      <c r="H4" s="18" t="str">
        <f>IF(COUNTIFS('Shuffled Matches'!$G$3:$G$107,"Women's Singles",'Shuffled Matches'!$K$3:$K$107,"&lt;&gt;")=0,"",_xlfn.XLOOKUP(G4,$D$4:$D$9,$A$4:$A$9,""))</f>
        <v>Team 6</v>
      </c>
      <c r="I4" s="17">
        <f>IF(H4="","",_xlfn.XLOOKUP(G4,$D$4:$D$9,$B$4:$B$9,""))</f>
        <v>3</v>
      </c>
      <c r="J4" s="17">
        <f>IF(H4="","",_xlfn.XLOOKUP(G4,$D$4:$D$9,$C$4:$C$9,""))</f>
        <v>63</v>
      </c>
      <c r="K4" s="13"/>
    </row>
    <row r="5" spans="1:11" x14ac:dyDescent="0.15">
      <c r="A5" s="15" t="s">
        <v>3</v>
      </c>
      <c r="B5" s="16">
        <f>COUNTIFS('Shuffled Matches'!$L$3:$L$107,A5,'Shuffled Matches'!$G$3:$G$107,"Women's Singles")</f>
        <v>2</v>
      </c>
      <c r="C5" s="16" cm="1">
        <f t="array" ref="C5">SUMPRODUCT(('Shuffled Matches'!$D$3:$D$107=A5)*('Shuffled Matches'!$G$3:$G$107="Women's Singles")*IFERROR(--_xlfn.TEXTBEFORE('Shuffled Matches'!$K$3:$K$107,"-"),0))+SUMPRODUCT(('Shuffled Matches'!$E$3:$E$107=A5)*('Shuffled Matches'!$G$3:$G$107="Women's Singles")*IFERROR(--_xlfn.TEXTAFTER('Shuffled Matches'!$K$3:$K$107,"-"),0))</f>
        <v>42</v>
      </c>
      <c r="D5" s="16">
        <f t="shared" si="0"/>
        <v>2</v>
      </c>
      <c r="E5" s="13" t="str">
        <f>IF(COUNTIFS('Shuffled Matches'!$G$3:$G$107,"Women's Singles",'Shuffled Matches'!$K$3:$K$107,"&lt;&gt;")=0,"Pending",IF(D5&lt;=4,"Top 4","Eliminated"))</f>
        <v>Top 4</v>
      </c>
      <c r="F5" s="13"/>
      <c r="G5" s="17">
        <v>2</v>
      </c>
      <c r="H5" s="18" t="str">
        <f>IF(COUNTIFS('Shuffled Matches'!$G$3:$G$107,"Women's Singles",'Shuffled Matches'!$K$3:$K$107,"&lt;&gt;")=0,"",_xlfn.XLOOKUP(G5,$D$4:$D$9,$A$4:$A$9,""))</f>
        <v>Team 2</v>
      </c>
      <c r="I5" s="17">
        <f>IF(H5="","",_xlfn.XLOOKUP(G5,$D$4:$D$9,$B$4:$B$9,""))</f>
        <v>2</v>
      </c>
      <c r="J5" s="17">
        <f>IF(H5="","",_xlfn.XLOOKUP(G5,$D$4:$D$9,$C$4:$C$9,""))</f>
        <v>42</v>
      </c>
      <c r="K5" s="13"/>
    </row>
    <row r="6" spans="1:11" x14ac:dyDescent="0.15">
      <c r="A6" s="15" t="s">
        <v>28</v>
      </c>
      <c r="B6" s="16">
        <f>COUNTIFS('Shuffled Matches'!$L$3:$L$107,A6,'Shuffled Matches'!$G$3:$G$107,"Women's Singles")</f>
        <v>1</v>
      </c>
      <c r="C6" s="16" cm="1">
        <f t="array" ref="C6">SUMPRODUCT(('Shuffled Matches'!$D$3:$D$107=A6)*('Shuffled Matches'!$G$3:$G$107="Women's Singles")*IFERROR(--_xlfn.TEXTBEFORE('Shuffled Matches'!$K$3:$K$107,"-"),0))+SUMPRODUCT(('Shuffled Matches'!$E$3:$E$107=A6)*('Shuffled Matches'!$G$3:$G$107="Women's Singles")*IFERROR(--_xlfn.TEXTAFTER('Shuffled Matches'!$K$3:$K$107,"-"),0))</f>
        <v>47</v>
      </c>
      <c r="D6" s="16">
        <f t="shared" si="0"/>
        <v>4</v>
      </c>
      <c r="E6" s="13" t="str">
        <f>IF(COUNTIFS('Shuffled Matches'!$G$3:$G$107,"Women's Singles",'Shuffled Matches'!$K$3:$K$107,"&lt;&gt;")=0,"Pending",IF(D6&lt;=4,"Top 4","Eliminated"))</f>
        <v>Top 4</v>
      </c>
      <c r="F6" s="13"/>
      <c r="G6" s="17">
        <v>3</v>
      </c>
      <c r="H6" s="18" t="str">
        <f>IF(COUNTIFS('Shuffled Matches'!$G$3:$G$107,"Women's Singles",'Shuffled Matches'!$K$3:$K$107,"&lt;&gt;")=0,"",_xlfn.XLOOKUP(G6,$D$4:$D$9,$A$4:$A$9,""))</f>
        <v>Team 4</v>
      </c>
      <c r="I6" s="17">
        <f>IF(H6="","",_xlfn.XLOOKUP(G6,$D$4:$D$9,$B$4:$B$9,""))</f>
        <v>1</v>
      </c>
      <c r="J6" s="17">
        <f>IF(H6="","",_xlfn.XLOOKUP(G6,$D$4:$D$9,$C$4:$C$9,""))</f>
        <v>76</v>
      </c>
      <c r="K6" s="13"/>
    </row>
    <row r="7" spans="1:11" x14ac:dyDescent="0.15">
      <c r="A7" s="15" t="s">
        <v>24</v>
      </c>
      <c r="B7" s="16">
        <f>COUNTIFS('Shuffled Matches'!$L$3:$L$107,A7,'Shuffled Matches'!$G$3:$G$107,"Women's Singles")</f>
        <v>1</v>
      </c>
      <c r="C7" s="16" cm="1">
        <f t="array" ref="C7">SUMPRODUCT(('Shuffled Matches'!$D$3:$D$107=A7)*('Shuffled Matches'!$G$3:$G$107="Women's Singles")*IFERROR(--_xlfn.TEXTBEFORE('Shuffled Matches'!$K$3:$K$107,"-"),0))+SUMPRODUCT(('Shuffled Matches'!$E$3:$E$107=A7)*('Shuffled Matches'!$G$3:$G$107="Women's Singles")*IFERROR(--_xlfn.TEXTAFTER('Shuffled Matches'!$K$3:$K$107,"-"),0))</f>
        <v>76</v>
      </c>
      <c r="D7" s="16">
        <f t="shared" si="0"/>
        <v>3</v>
      </c>
      <c r="E7" s="13" t="str">
        <f>IF(COUNTIFS('Shuffled Matches'!$G$3:$G$107,"Women's Singles",'Shuffled Matches'!$K$3:$K$107,"&lt;&gt;")=0,"Pending",IF(D7&lt;=4,"Top 4","Eliminated"))</f>
        <v>Top 4</v>
      </c>
      <c r="F7" s="13"/>
      <c r="G7" s="17">
        <v>4</v>
      </c>
      <c r="H7" s="18" t="str">
        <f>IF(COUNTIFS('Shuffled Matches'!$G$3:$G$107,"Women's Singles",'Shuffled Matches'!$K$3:$K$107,"&lt;&gt;")=0,"",_xlfn.XLOOKUP(G7,$D$4:$D$9,$A$4:$A$9,""))</f>
        <v>Team 3</v>
      </c>
      <c r="I7" s="17">
        <f>IF(H7="","",_xlfn.XLOOKUP(G7,$D$4:$D$9,$B$4:$B$9,""))</f>
        <v>1</v>
      </c>
      <c r="J7" s="17">
        <f>IF(H7="","",_xlfn.XLOOKUP(G7,$D$4:$D$9,$C$4:$C$9,""))</f>
        <v>47</v>
      </c>
      <c r="K7" s="13"/>
    </row>
    <row r="8" spans="1:11" x14ac:dyDescent="0.15">
      <c r="A8" s="15" t="s">
        <v>13</v>
      </c>
      <c r="B8" s="16">
        <f>COUNTIFS('Shuffled Matches'!$L$3:$L$107,A8,'Shuffled Matches'!$G$3:$G$107,"Women's Singles")</f>
        <v>0</v>
      </c>
      <c r="C8" s="16" cm="1">
        <f t="array" ref="C8">SUMPRODUCT(('Shuffled Matches'!$D$3:$D$107=A8)*('Shuffled Matches'!$G$3:$G$107="Women's Singles")*IFERROR(--_xlfn.TEXTBEFORE('Shuffled Matches'!$K$3:$K$107,"-"),0))+SUMPRODUCT(('Shuffled Matches'!$E$3:$E$107=A8)*('Shuffled Matches'!$G$3:$G$107="Women's Singles")*IFERROR(--_xlfn.TEXTAFTER('Shuffled Matches'!$K$3:$K$107,"-"),0))</f>
        <v>20</v>
      </c>
      <c r="D8" s="16">
        <f t="shared" si="0"/>
        <v>5</v>
      </c>
      <c r="E8" s="13" t="str">
        <f>IF(COUNTIFS('Shuffled Matches'!$G$3:$G$107,"Women's Singles",'Shuffled Matches'!$K$3:$K$107,"&lt;&gt;")=0,"Pending",IF(D8&lt;=4,"Top 4","Eliminated"))</f>
        <v>Eliminated</v>
      </c>
      <c r="F8" s="13"/>
      <c r="G8" s="13"/>
      <c r="H8" s="13"/>
      <c r="I8" s="13"/>
      <c r="J8" s="13"/>
      <c r="K8" s="13"/>
    </row>
    <row r="9" spans="1:11" x14ac:dyDescent="0.15">
      <c r="A9" s="15" t="s">
        <v>14</v>
      </c>
      <c r="B9" s="16">
        <f>COUNTIFS('Shuffled Matches'!$L$3:$L$107,A9,'Shuffled Matches'!$G$3:$G$107,"Women's Singles")</f>
        <v>3</v>
      </c>
      <c r="C9" s="16" cm="1">
        <f t="array" ref="C9">SUMPRODUCT(('Shuffled Matches'!$D$3:$D$107=A9)*('Shuffled Matches'!$G$3:$G$107="Women's Singles")*IFERROR(--_xlfn.TEXTBEFORE('Shuffled Matches'!$K$3:$K$107,"-"),0))+SUMPRODUCT(('Shuffled Matches'!$E$3:$E$107=A9)*('Shuffled Matches'!$G$3:$G$107="Women's Singles")*IFERROR(--_xlfn.TEXTAFTER('Shuffled Matches'!$K$3:$K$107,"-"),0))</f>
        <v>63</v>
      </c>
      <c r="D9" s="16">
        <f t="shared" si="0"/>
        <v>1</v>
      </c>
      <c r="E9" s="13" t="str">
        <f>IF(COUNTIFS('Shuffled Matches'!$G$3:$G$107,"Women's Singles",'Shuffled Matches'!$K$3:$K$107,"&lt;&gt;")=0,"Pending",IF(D9&lt;=4,"Top 4","Eliminated"))</f>
        <v>Top 4</v>
      </c>
      <c r="F9" s="13"/>
      <c r="G9" s="13"/>
      <c r="H9" s="13"/>
      <c r="I9" s="13"/>
      <c r="J9" s="13"/>
      <c r="K9" s="13"/>
    </row>
    <row r="10" spans="1:11" x14ac:dyDescent="0.1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</row>
    <row r="11" spans="1:11" x14ac:dyDescent="0.1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1" x14ac:dyDescent="0.1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</row>
    <row r="13" spans="1:11" x14ac:dyDescent="0.1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</row>
    <row r="14" spans="1:11" x14ac:dyDescent="0.1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spans="1:11" x14ac:dyDescent="0.15">
      <c r="A15" s="35" t="s">
        <v>120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</row>
    <row r="16" spans="1:11" x14ac:dyDescent="0.15">
      <c r="A16" s="34" t="s">
        <v>113</v>
      </c>
      <c r="B16" s="34"/>
      <c r="C16" s="34"/>
      <c r="D16" s="34"/>
      <c r="E16" s="34"/>
      <c r="F16" s="34"/>
      <c r="G16" s="34"/>
      <c r="H16" s="34"/>
      <c r="I16" s="34"/>
      <c r="J16" s="34"/>
      <c r="K16" s="34"/>
    </row>
    <row r="17" spans="1:11" x14ac:dyDescent="0.15">
      <c r="A17" s="12" t="s">
        <v>114</v>
      </c>
      <c r="B17" s="12" t="s">
        <v>115</v>
      </c>
      <c r="C17" s="12" t="s">
        <v>116</v>
      </c>
      <c r="D17" s="12" t="s">
        <v>117</v>
      </c>
      <c r="E17" s="12" t="s">
        <v>118</v>
      </c>
      <c r="F17" s="13"/>
      <c r="G17" s="14" t="s">
        <v>117</v>
      </c>
      <c r="H17" s="14" t="s">
        <v>119</v>
      </c>
      <c r="I17" s="14" t="s">
        <v>115</v>
      </c>
      <c r="J17" s="14" t="s">
        <v>116</v>
      </c>
      <c r="K17" s="13"/>
    </row>
    <row r="18" spans="1:11" x14ac:dyDescent="0.15">
      <c r="A18" s="15" t="s">
        <v>2</v>
      </c>
      <c r="B18" s="16">
        <f>COUNTIFS('Shuffled Matches'!$L$3:$L$107,A18,'Shuffled Matches'!$G$3:$G$107,"Women's Doubles")</f>
        <v>0</v>
      </c>
      <c r="C18" s="16" cm="1">
        <f t="array" ref="C18">SUMPRODUCT(('Shuffled Matches'!$D$3:$D$107=A18)*('Shuffled Matches'!$G$3:$G$107="Women's Doubles")*IFERROR(--_xlfn.TEXTBEFORE('Shuffled Matches'!$K$3:$K$107,"-"),0))+SUMPRODUCT(('Shuffled Matches'!$E$3:$E$107=A18)*('Shuffled Matches'!$G$3:$G$107="Women's Doubles")*IFERROR(--_xlfn.TEXTAFTER('Shuffled Matches'!$K$3:$K$107,"-"),0))</f>
        <v>0</v>
      </c>
      <c r="D18" s="16">
        <f t="shared" ref="D18:D23" si="1">1+COUNTIF($B$18:$B$23,"&gt;"&amp;B18)+COUNTIFS($B$18:$B$23,B18,$C$18:$C$23,"&gt;"&amp;C18)+COUNTIFS($B$18:$B$23,B18,$C$18:$C$23,C18,$A$18:$A$23,"&lt;"&amp;A18)</f>
        <v>1</v>
      </c>
      <c r="E18" s="13" t="str">
        <f>IF(COUNTIFS('Shuffled Matches'!$G$3:$G$107,"Women's Doubles",'Shuffled Matches'!$K$3:$K$107,"&lt;&gt;")=0,"Pending",IF(D18&lt;=4,"Top 4","Eliminated"))</f>
        <v>Pending</v>
      </c>
      <c r="F18" s="13"/>
      <c r="G18" s="17">
        <v>1</v>
      </c>
      <c r="H18" s="18" t="str">
        <f>IF(COUNTIFS('Shuffled Matches'!$G$3:$G$107,"Women's Doubles",'Shuffled Matches'!$K$3:$K$107,"&lt;&gt;")=0,"",_xlfn.XLOOKUP(G18,$D$18:$D$23,$A$18:$A$23,""))</f>
        <v/>
      </c>
      <c r="I18" s="17" t="str">
        <f>IF(H18="","",_xlfn.XLOOKUP(G18,$D$18:$D$23,$B$18:$B$23,""))</f>
        <v/>
      </c>
      <c r="J18" s="17" t="str">
        <f>IF(H18="","",_xlfn.XLOOKUP(G18,$D$18:$D$23,$C$18:$C$23,""))</f>
        <v/>
      </c>
      <c r="K18" s="13"/>
    </row>
    <row r="19" spans="1:11" x14ac:dyDescent="0.15">
      <c r="A19" s="15" t="s">
        <v>3</v>
      </c>
      <c r="B19" s="16">
        <f>COUNTIFS('Shuffled Matches'!$L$3:$L$107,A19,'Shuffled Matches'!$G$3:$G$107,"Women's Doubles")</f>
        <v>0</v>
      </c>
      <c r="C19" s="16" cm="1">
        <f t="array" ref="C19">SUMPRODUCT(('Shuffled Matches'!$D$3:$D$107=A19)*('Shuffled Matches'!$G$3:$G$107="Women's Doubles")*IFERROR(--_xlfn.TEXTBEFORE('Shuffled Matches'!$K$3:$K$107,"-"),0))+SUMPRODUCT(('Shuffled Matches'!$E$3:$E$107=A19)*('Shuffled Matches'!$G$3:$G$107="Women's Doubles")*IFERROR(--_xlfn.TEXTAFTER('Shuffled Matches'!$K$3:$K$107,"-"),0))</f>
        <v>0</v>
      </c>
      <c r="D19" s="16">
        <f t="shared" si="1"/>
        <v>2</v>
      </c>
      <c r="E19" s="13" t="str">
        <f>IF(COUNTIFS('Shuffled Matches'!$G$3:$G$107,"Women's Doubles",'Shuffled Matches'!$K$3:$K$107,"&lt;&gt;")=0,"Pending",IF(D19&lt;=4,"Top 4","Eliminated"))</f>
        <v>Pending</v>
      </c>
      <c r="F19" s="13"/>
      <c r="G19" s="17">
        <v>2</v>
      </c>
      <c r="H19" s="18" t="str">
        <f>IF(COUNTIFS('Shuffled Matches'!$G$3:$G$107,"Women's Doubles",'Shuffled Matches'!$K$3:$K$107,"&lt;&gt;")=0,"",_xlfn.XLOOKUP(G19,$D$18:$D$23,$A$18:$A$23,""))</f>
        <v/>
      </c>
      <c r="I19" s="17" t="str">
        <f>IF(H19="","",_xlfn.XLOOKUP(G19,$D$18:$D$23,$B$18:$B$23,""))</f>
        <v/>
      </c>
      <c r="J19" s="17" t="str">
        <f>IF(H19="","",_xlfn.XLOOKUP(G19,$D$18:$D$23,$C$18:$C$23,""))</f>
        <v/>
      </c>
      <c r="K19" s="13"/>
    </row>
    <row r="20" spans="1:11" x14ac:dyDescent="0.15">
      <c r="A20" s="15" t="s">
        <v>28</v>
      </c>
      <c r="B20" s="16">
        <f>COUNTIFS('Shuffled Matches'!$L$3:$L$107,A20,'Shuffled Matches'!$G$3:$G$107,"Women's Doubles")</f>
        <v>0</v>
      </c>
      <c r="C20" s="16" cm="1">
        <f t="array" ref="C20">SUMPRODUCT(('Shuffled Matches'!$D$3:$D$107=A20)*('Shuffled Matches'!$G$3:$G$107="Women's Doubles")*IFERROR(--_xlfn.TEXTBEFORE('Shuffled Matches'!$K$3:$K$107,"-"),0))+SUMPRODUCT(('Shuffled Matches'!$E$3:$E$107=A20)*('Shuffled Matches'!$G$3:$G$107="Women's Doubles")*IFERROR(--_xlfn.TEXTAFTER('Shuffled Matches'!$K$3:$K$107,"-"),0))</f>
        <v>0</v>
      </c>
      <c r="D20" s="16">
        <f t="shared" si="1"/>
        <v>3</v>
      </c>
      <c r="E20" s="13" t="str">
        <f>IF(COUNTIFS('Shuffled Matches'!$G$3:$G$107,"Women's Doubles",'Shuffled Matches'!$K$3:$K$107,"&lt;&gt;")=0,"Pending",IF(D20&lt;=4,"Top 4","Eliminated"))</f>
        <v>Pending</v>
      </c>
      <c r="F20" s="13"/>
      <c r="G20" s="17">
        <v>3</v>
      </c>
      <c r="H20" s="18" t="str">
        <f>IF(COUNTIFS('Shuffled Matches'!$G$3:$G$107,"Women's Doubles",'Shuffled Matches'!$K$3:$K$107,"&lt;&gt;")=0,"",_xlfn.XLOOKUP(G20,$D$18:$D$23,$A$18:$A$23,""))</f>
        <v/>
      </c>
      <c r="I20" s="17" t="str">
        <f>IF(H20="","",_xlfn.XLOOKUP(G20,$D$18:$D$23,$B$18:$B$23,""))</f>
        <v/>
      </c>
      <c r="J20" s="17" t="str">
        <f>IF(H20="","",_xlfn.XLOOKUP(G20,$D$18:$D$23,$C$18:$C$23,""))</f>
        <v/>
      </c>
      <c r="K20" s="13"/>
    </row>
    <row r="21" spans="1:11" x14ac:dyDescent="0.15">
      <c r="A21" s="15" t="s">
        <v>24</v>
      </c>
      <c r="B21" s="16">
        <f>COUNTIFS('Shuffled Matches'!$L$3:$L$107,A21,'Shuffled Matches'!$G$3:$G$107,"Women's Doubles")</f>
        <v>0</v>
      </c>
      <c r="C21" s="16" cm="1">
        <f t="array" ref="C21">SUMPRODUCT(('Shuffled Matches'!$D$3:$D$107=A21)*('Shuffled Matches'!$G$3:$G$107="Women's Doubles")*IFERROR(--_xlfn.TEXTBEFORE('Shuffled Matches'!$K$3:$K$107,"-"),0))+SUMPRODUCT(('Shuffled Matches'!$E$3:$E$107=A21)*('Shuffled Matches'!$G$3:$G$107="Women's Doubles")*IFERROR(--_xlfn.TEXTAFTER('Shuffled Matches'!$K$3:$K$107,"-"),0))</f>
        <v>0</v>
      </c>
      <c r="D21" s="16">
        <f t="shared" si="1"/>
        <v>4</v>
      </c>
      <c r="E21" s="13" t="str">
        <f>IF(COUNTIFS('Shuffled Matches'!$G$3:$G$107,"Women's Doubles",'Shuffled Matches'!$K$3:$K$107,"&lt;&gt;")=0,"Pending",IF(D21&lt;=4,"Top 4","Eliminated"))</f>
        <v>Pending</v>
      </c>
      <c r="F21" s="13"/>
      <c r="G21" s="17">
        <v>4</v>
      </c>
      <c r="H21" s="18" t="str">
        <f>IF(COUNTIFS('Shuffled Matches'!$G$3:$G$107,"Women's Doubles",'Shuffled Matches'!$K$3:$K$107,"&lt;&gt;")=0,"",_xlfn.XLOOKUP(G21,$D$18:$D$23,$A$18:$A$23,""))</f>
        <v/>
      </c>
      <c r="I21" s="17" t="str">
        <f>IF(H21="","",_xlfn.XLOOKUP(G21,$D$18:$D$23,$B$18:$B$23,""))</f>
        <v/>
      </c>
      <c r="J21" s="17" t="str">
        <f>IF(H21="","",_xlfn.XLOOKUP(G21,$D$18:$D$23,$C$18:$C$23,""))</f>
        <v/>
      </c>
      <c r="K21" s="13"/>
    </row>
    <row r="22" spans="1:11" x14ac:dyDescent="0.15">
      <c r="A22" s="15" t="s">
        <v>13</v>
      </c>
      <c r="B22" s="16">
        <f>COUNTIFS('Shuffled Matches'!$L$3:$L$107,A22,'Shuffled Matches'!$G$3:$G$107,"Women's Doubles")</f>
        <v>0</v>
      </c>
      <c r="C22" s="16" cm="1">
        <f t="array" ref="C22">SUMPRODUCT(('Shuffled Matches'!$D$3:$D$107=A22)*('Shuffled Matches'!$G$3:$G$107="Women's Doubles")*IFERROR(--_xlfn.TEXTBEFORE('Shuffled Matches'!$K$3:$K$107,"-"),0))+SUMPRODUCT(('Shuffled Matches'!$E$3:$E$107=A22)*('Shuffled Matches'!$G$3:$G$107="Women's Doubles")*IFERROR(--_xlfn.TEXTAFTER('Shuffled Matches'!$K$3:$K$107,"-"),0))</f>
        <v>0</v>
      </c>
      <c r="D22" s="16">
        <f t="shared" si="1"/>
        <v>5</v>
      </c>
      <c r="E22" s="13" t="str">
        <f>IF(COUNTIFS('Shuffled Matches'!$G$3:$G$107,"Women's Doubles",'Shuffled Matches'!$K$3:$K$107,"&lt;&gt;")=0,"Pending",IF(D22&lt;=4,"Top 4","Eliminated"))</f>
        <v>Pending</v>
      </c>
      <c r="F22" s="13"/>
      <c r="G22" s="13"/>
      <c r="H22" s="13"/>
      <c r="I22" s="13"/>
      <c r="J22" s="13"/>
      <c r="K22" s="13"/>
    </row>
    <row r="23" spans="1:11" x14ac:dyDescent="0.15">
      <c r="A23" s="15" t="s">
        <v>14</v>
      </c>
      <c r="B23" s="16">
        <f>COUNTIFS('Shuffled Matches'!$L$3:$L$107,A23,'Shuffled Matches'!$G$3:$G$107,"Women's Doubles")</f>
        <v>0</v>
      </c>
      <c r="C23" s="16" cm="1">
        <f t="array" ref="C23">SUMPRODUCT(('Shuffled Matches'!$D$3:$D$107=A23)*('Shuffled Matches'!$G$3:$G$107="Women's Doubles")*IFERROR(--_xlfn.TEXTBEFORE('Shuffled Matches'!$K$3:$K$107,"-"),0))+SUMPRODUCT(('Shuffled Matches'!$E$3:$E$107=A23)*('Shuffled Matches'!$G$3:$G$107="Women's Doubles")*IFERROR(--_xlfn.TEXTAFTER('Shuffled Matches'!$K$3:$K$107,"-"),0))</f>
        <v>0</v>
      </c>
      <c r="D23" s="16">
        <f t="shared" si="1"/>
        <v>6</v>
      </c>
      <c r="E23" s="13" t="str">
        <f>IF(COUNTIFS('Shuffled Matches'!$G$3:$G$107,"Women's Doubles",'Shuffled Matches'!$K$3:$K$107,"&lt;&gt;")=0,"Pending",IF(D23&lt;=4,"Top 4","Eliminated"))</f>
        <v>Pending</v>
      </c>
      <c r="F23" s="13"/>
      <c r="G23" s="13"/>
      <c r="H23" s="13"/>
      <c r="I23" s="13"/>
      <c r="J23" s="13"/>
      <c r="K23" s="13"/>
    </row>
    <row r="24" spans="1:11" x14ac:dyDescent="0.1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</row>
    <row r="25" spans="1:11" x14ac:dyDescent="0.1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</row>
    <row r="26" spans="1:11" x14ac:dyDescent="0.1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</row>
    <row r="27" spans="1:11" x14ac:dyDescent="0.1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</row>
    <row r="28" spans="1:11" x14ac:dyDescent="0.1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</row>
    <row r="29" spans="1:11" x14ac:dyDescent="0.15">
      <c r="A29" s="35" t="s">
        <v>121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</row>
    <row r="30" spans="1:11" x14ac:dyDescent="0.15">
      <c r="A30" s="34" t="s">
        <v>113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</row>
    <row r="31" spans="1:11" x14ac:dyDescent="0.15">
      <c r="A31" s="12" t="s">
        <v>114</v>
      </c>
      <c r="B31" s="12" t="s">
        <v>115</v>
      </c>
      <c r="C31" s="12" t="s">
        <v>116</v>
      </c>
      <c r="D31" s="12" t="s">
        <v>117</v>
      </c>
      <c r="E31" s="12" t="s">
        <v>118</v>
      </c>
      <c r="F31" s="13"/>
      <c r="G31" s="14" t="s">
        <v>117</v>
      </c>
      <c r="H31" s="14" t="s">
        <v>119</v>
      </c>
      <c r="I31" s="14" t="s">
        <v>115</v>
      </c>
      <c r="J31" s="14" t="s">
        <v>116</v>
      </c>
      <c r="K31" s="13"/>
    </row>
    <row r="32" spans="1:11" x14ac:dyDescent="0.15">
      <c r="A32" s="15" t="s">
        <v>2</v>
      </c>
      <c r="B32" s="16">
        <f>COUNTIFS('Shuffled Matches'!$L$3:$L$107,A32,'Shuffled Matches'!$G$3:$G$107,"Mixed Doubles")</f>
        <v>0</v>
      </c>
      <c r="C32" s="16" cm="1">
        <f t="array" ref="C32">SUMPRODUCT(('Shuffled Matches'!$D$3:$D$107=A32)*('Shuffled Matches'!$G$3:$G$107="Mixed Doubles")*IFERROR(--_xlfn.TEXTBEFORE('Shuffled Matches'!$K$3:$K$107,"-"),0))+SUMPRODUCT(('Shuffled Matches'!$E$3:$E$107=A32)*('Shuffled Matches'!$G$3:$G$107="Mixed Doubles")*IFERROR(--_xlfn.TEXTAFTER('Shuffled Matches'!$K$3:$K$107,"-"),0))</f>
        <v>16</v>
      </c>
      <c r="D32" s="16">
        <f t="shared" ref="D32:D37" si="2">1+COUNTIF($B$32:$B$37,"&gt;"&amp;B32)+COUNTIFS($B$32:$B$37,B32,$C$32:$C$37,"&gt;"&amp;C32)+COUNTIFS($B$32:$B$37,B32,$C$32:$C$37,C32,$A$32:$A$37,"&lt;"&amp;A32)</f>
        <v>5</v>
      </c>
      <c r="E32" s="13" t="str">
        <f>IF(COUNTIFS('Shuffled Matches'!$G$3:$G$107,"Mixed Doubles",'Shuffled Matches'!$K$3:$K$107,"&lt;&gt;")=0,"Pending",IF(D32&lt;=4,"Top 4","Eliminated"))</f>
        <v>Eliminated</v>
      </c>
      <c r="F32" s="13"/>
      <c r="G32" s="17">
        <v>1</v>
      </c>
      <c r="H32" s="18" t="str">
        <f>IF(COUNTIFS('Shuffled Matches'!$G$3:$G$107,"Mixed Doubles",'Shuffled Matches'!$K$3:$K$107,"&lt;&gt;")=0,"",_xlfn.XLOOKUP(G32,$D$32:$D$37,$A$32:$A$37,""))</f>
        <v>Team 3</v>
      </c>
      <c r="I32" s="17">
        <f>IF(H32="","",_xlfn.XLOOKUP(G32,$D$32:$D$37,$B$32:$B$37,""))</f>
        <v>3</v>
      </c>
      <c r="J32" s="17">
        <f>IF(H32="","",_xlfn.XLOOKUP(G32,$D$32:$D$37,$C$32:$C$37,""))</f>
        <v>63</v>
      </c>
      <c r="K32" s="13"/>
    </row>
    <row r="33" spans="1:11" x14ac:dyDescent="0.15">
      <c r="A33" s="15" t="s">
        <v>3</v>
      </c>
      <c r="B33" s="16">
        <f>COUNTIFS('Shuffled Matches'!$L$3:$L$107,A33,'Shuffled Matches'!$G$3:$G$107,"Mixed Doubles")</f>
        <v>2</v>
      </c>
      <c r="C33" s="16" cm="1">
        <f t="array" ref="C33">SUMPRODUCT(('Shuffled Matches'!$D$3:$D$107=A33)*('Shuffled Matches'!$G$3:$G$107="Mixed Doubles")*IFERROR(--_xlfn.TEXTBEFORE('Shuffled Matches'!$K$3:$K$107,"-"),0))+SUMPRODUCT(('Shuffled Matches'!$E$3:$E$107=A33)*('Shuffled Matches'!$G$3:$G$107="Mixed Doubles")*IFERROR(--_xlfn.TEXTAFTER('Shuffled Matches'!$K$3:$K$107,"-"),0))</f>
        <v>58</v>
      </c>
      <c r="D33" s="16">
        <f t="shared" si="2"/>
        <v>2</v>
      </c>
      <c r="E33" s="13" t="str">
        <f>IF(COUNTIFS('Shuffled Matches'!$G$3:$G$107,"Mixed Doubles",'Shuffled Matches'!$K$3:$K$107,"&lt;&gt;")=0,"Pending",IF(D33&lt;=4,"Top 4","Eliminated"))</f>
        <v>Top 4</v>
      </c>
      <c r="F33" s="13"/>
      <c r="G33" s="17">
        <v>2</v>
      </c>
      <c r="H33" s="18" t="str">
        <f>IF(COUNTIFS('Shuffled Matches'!$G$3:$G$107,"Mixed Doubles",'Shuffled Matches'!$K$3:$K$107,"&lt;&gt;")=0,"",_xlfn.XLOOKUP(G33,$D$32:$D$37,$A$32:$A$37,""))</f>
        <v>Team 2</v>
      </c>
      <c r="I33" s="17">
        <f>IF(H33="","",_xlfn.XLOOKUP(G33,$D$32:$D$37,$B$32:$B$37,""))</f>
        <v>2</v>
      </c>
      <c r="J33" s="17">
        <f>IF(H33="","",_xlfn.XLOOKUP(G33,$D$32:$D$37,$C$32:$C$37,""))</f>
        <v>58</v>
      </c>
      <c r="K33" s="13"/>
    </row>
    <row r="34" spans="1:11" x14ac:dyDescent="0.15">
      <c r="A34" s="15" t="s">
        <v>28</v>
      </c>
      <c r="B34" s="16">
        <f>COUNTIFS('Shuffled Matches'!$L$3:$L$107,A34,'Shuffled Matches'!$G$3:$G$107,"Mixed Doubles")</f>
        <v>3</v>
      </c>
      <c r="C34" s="16" cm="1">
        <f t="array" ref="C34">SUMPRODUCT(('Shuffled Matches'!$D$3:$D$107=A34)*('Shuffled Matches'!$G$3:$G$107="Mixed Doubles")*IFERROR(--_xlfn.TEXTBEFORE('Shuffled Matches'!$K$3:$K$107,"-"),0))+SUMPRODUCT(('Shuffled Matches'!$E$3:$E$107=A34)*('Shuffled Matches'!$G$3:$G$107="Mixed Doubles")*IFERROR(--_xlfn.TEXTAFTER('Shuffled Matches'!$K$3:$K$107,"-"),0))</f>
        <v>63</v>
      </c>
      <c r="D34" s="16">
        <f t="shared" si="2"/>
        <v>1</v>
      </c>
      <c r="E34" s="13" t="str">
        <f>IF(COUNTIFS('Shuffled Matches'!$G$3:$G$107,"Mixed Doubles",'Shuffled Matches'!$K$3:$K$107,"&lt;&gt;")=0,"Pending",IF(D34&lt;=4,"Top 4","Eliminated"))</f>
        <v>Top 4</v>
      </c>
      <c r="F34" s="13"/>
      <c r="G34" s="17">
        <v>3</v>
      </c>
      <c r="H34" s="18" t="str">
        <f>IF(COUNTIFS('Shuffled Matches'!$G$3:$G$107,"Mixed Doubles",'Shuffled Matches'!$K$3:$K$107,"&lt;&gt;")=0,"",_xlfn.XLOOKUP(G34,$D$32:$D$37,$A$32:$A$37,""))</f>
        <v>Team 5</v>
      </c>
      <c r="I34" s="17">
        <f>IF(H34="","",_xlfn.XLOOKUP(G34,$D$32:$D$37,$B$32:$B$37,""))</f>
        <v>1</v>
      </c>
      <c r="J34" s="17">
        <f>IF(H34="","",_xlfn.XLOOKUP(G34,$D$32:$D$37,$C$32:$C$37,""))</f>
        <v>32</v>
      </c>
      <c r="K34" s="13"/>
    </row>
    <row r="35" spans="1:11" x14ac:dyDescent="0.15">
      <c r="A35" s="15" t="s">
        <v>24</v>
      </c>
      <c r="B35" s="16">
        <f>COUNTIFS('Shuffled Matches'!$L$3:$L$107,A35,'Shuffled Matches'!$G$3:$G$107,"Mixed Doubles")</f>
        <v>0</v>
      </c>
      <c r="C35" s="16" cm="1">
        <f t="array" ref="C35">SUMPRODUCT(('Shuffled Matches'!$D$3:$D$107=A35)*('Shuffled Matches'!$G$3:$G$107="Mixed Doubles")*IFERROR(--_xlfn.TEXTBEFORE('Shuffled Matches'!$K$3:$K$107,"-"),0))+SUMPRODUCT(('Shuffled Matches'!$E$3:$E$107=A35)*('Shuffled Matches'!$G$3:$G$107="Mixed Doubles")*IFERROR(--_xlfn.TEXTAFTER('Shuffled Matches'!$K$3:$K$107,"-"),0))</f>
        <v>16</v>
      </c>
      <c r="D35" s="16">
        <f t="shared" si="2"/>
        <v>6</v>
      </c>
      <c r="E35" s="13" t="str">
        <f>IF(COUNTIFS('Shuffled Matches'!$G$3:$G$107,"Mixed Doubles",'Shuffled Matches'!$K$3:$K$107,"&lt;&gt;")=0,"Pending",IF(D35&lt;=4,"Top 4","Eliminated"))</f>
        <v>Eliminated</v>
      </c>
      <c r="F35" s="13"/>
      <c r="G35" s="17">
        <v>4</v>
      </c>
      <c r="H35" s="18" t="str">
        <f>IF(COUNTIFS('Shuffled Matches'!$G$3:$G$107,"Mixed Doubles",'Shuffled Matches'!$K$3:$K$107,"&lt;&gt;")=0,"",_xlfn.XLOOKUP(G35,$D$32:$D$37,$A$32:$A$37,""))</f>
        <v>Team 6</v>
      </c>
      <c r="I35" s="17">
        <f>IF(H35="","",_xlfn.XLOOKUP(G35,$D$32:$D$37,$B$32:$B$37,""))</f>
        <v>0</v>
      </c>
      <c r="J35" s="17">
        <f>IF(H35="","",_xlfn.XLOOKUP(G35,$D$32:$D$37,$C$32:$C$37,""))</f>
        <v>30</v>
      </c>
      <c r="K35" s="13"/>
    </row>
    <row r="36" spans="1:11" x14ac:dyDescent="0.15">
      <c r="A36" s="15" t="s">
        <v>13</v>
      </c>
      <c r="B36" s="16">
        <f>COUNTIFS('Shuffled Matches'!$L$3:$L$107,A36,'Shuffled Matches'!$G$3:$G$107,"Mixed Doubles")</f>
        <v>1</v>
      </c>
      <c r="C36" s="16" cm="1">
        <f t="array" ref="C36">SUMPRODUCT(('Shuffled Matches'!$D$3:$D$107=A36)*('Shuffled Matches'!$G$3:$G$107="Mixed Doubles")*IFERROR(--_xlfn.TEXTBEFORE('Shuffled Matches'!$K$3:$K$107,"-"),0))+SUMPRODUCT(('Shuffled Matches'!$E$3:$E$107=A36)*('Shuffled Matches'!$G$3:$G$107="Mixed Doubles")*IFERROR(--_xlfn.TEXTAFTER('Shuffled Matches'!$K$3:$K$107,"-"),0))</f>
        <v>32</v>
      </c>
      <c r="D36" s="16">
        <f t="shared" si="2"/>
        <v>3</v>
      </c>
      <c r="E36" s="13" t="str">
        <f>IF(COUNTIFS('Shuffled Matches'!$G$3:$G$107,"Mixed Doubles",'Shuffled Matches'!$K$3:$K$107,"&lt;&gt;")=0,"Pending",IF(D36&lt;=4,"Top 4","Eliminated"))</f>
        <v>Top 4</v>
      </c>
      <c r="F36" s="13"/>
      <c r="G36" s="13"/>
      <c r="H36" s="13"/>
      <c r="I36" s="13"/>
      <c r="J36" s="13"/>
      <c r="K36" s="13"/>
    </row>
    <row r="37" spans="1:11" x14ac:dyDescent="0.15">
      <c r="A37" s="15" t="s">
        <v>14</v>
      </c>
      <c r="B37" s="16">
        <f>COUNTIFS('Shuffled Matches'!$L$3:$L$107,A37,'Shuffled Matches'!$G$3:$G$107,"Mixed Doubles")</f>
        <v>0</v>
      </c>
      <c r="C37" s="16" cm="1">
        <f t="array" ref="C37">SUMPRODUCT(('Shuffled Matches'!$D$3:$D$107=A37)*('Shuffled Matches'!$G$3:$G$107="Mixed Doubles")*IFERROR(--_xlfn.TEXTBEFORE('Shuffled Matches'!$K$3:$K$107,"-"),0))+SUMPRODUCT(('Shuffled Matches'!$E$3:$E$107=A37)*('Shuffled Matches'!$G$3:$G$107="Mixed Doubles")*IFERROR(--_xlfn.TEXTAFTER('Shuffled Matches'!$K$3:$K$107,"-"),0))</f>
        <v>30</v>
      </c>
      <c r="D37" s="16">
        <f t="shared" si="2"/>
        <v>4</v>
      </c>
      <c r="E37" s="13" t="str">
        <f>IF(COUNTIFS('Shuffled Matches'!$G$3:$G$107,"Mixed Doubles",'Shuffled Matches'!$K$3:$K$107,"&lt;&gt;")=0,"Pending",IF(D37&lt;=4,"Top 4","Eliminated"))</f>
        <v>Top 4</v>
      </c>
      <c r="F37" s="13"/>
      <c r="G37" s="13"/>
      <c r="H37" s="13"/>
      <c r="I37" s="13"/>
      <c r="J37" s="13"/>
      <c r="K37" s="13"/>
    </row>
    <row r="38" spans="1:11" x14ac:dyDescent="0.1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</row>
    <row r="39" spans="1:11" x14ac:dyDescent="0.1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x14ac:dyDescent="0.1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</row>
    <row r="41" spans="1:11" x14ac:dyDescent="0.1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</row>
    <row r="42" spans="1:11" x14ac:dyDescent="0.1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</row>
    <row r="43" spans="1:11" x14ac:dyDescent="0.15">
      <c r="A43" s="35" t="s">
        <v>122</v>
      </c>
      <c r="B43" s="35"/>
      <c r="C43" s="35"/>
      <c r="D43" s="35"/>
      <c r="E43" s="35"/>
      <c r="F43" s="35"/>
      <c r="G43" s="35"/>
      <c r="H43" s="35"/>
      <c r="I43" s="35"/>
      <c r="J43" s="35"/>
      <c r="K43" s="35"/>
    </row>
    <row r="44" spans="1:11" x14ac:dyDescent="0.15">
      <c r="A44" s="34" t="s">
        <v>113</v>
      </c>
      <c r="B44" s="34"/>
      <c r="C44" s="34"/>
      <c r="D44" s="34"/>
      <c r="E44" s="34"/>
      <c r="F44" s="34"/>
      <c r="G44" s="34"/>
      <c r="H44" s="34"/>
      <c r="I44" s="34"/>
      <c r="J44" s="34"/>
      <c r="K44" s="34"/>
    </row>
    <row r="45" spans="1:11" x14ac:dyDescent="0.15">
      <c r="A45" s="12" t="s">
        <v>114</v>
      </c>
      <c r="B45" s="12" t="s">
        <v>115</v>
      </c>
      <c r="C45" s="12" t="s">
        <v>116</v>
      </c>
      <c r="D45" s="12" t="s">
        <v>117</v>
      </c>
      <c r="E45" s="12" t="s">
        <v>118</v>
      </c>
      <c r="F45" s="13"/>
      <c r="G45" s="14" t="s">
        <v>117</v>
      </c>
      <c r="H45" s="14" t="s">
        <v>119</v>
      </c>
      <c r="I45" s="14" t="s">
        <v>115</v>
      </c>
      <c r="J45" s="14" t="s">
        <v>116</v>
      </c>
      <c r="K45" s="13"/>
    </row>
    <row r="46" spans="1:11" x14ac:dyDescent="0.15">
      <c r="A46" s="15" t="s">
        <v>2</v>
      </c>
      <c r="B46" s="16">
        <f>COUNTIFS('Shuffled Matches'!$L$3:$L$107,A46,'Shuffled Matches'!$G$3:$G$107,"Men's Singles 1")</f>
        <v>1</v>
      </c>
      <c r="C46" s="16" cm="1">
        <f t="array" ref="C46">SUMPRODUCT(('Shuffled Matches'!$D$3:$D$107=A46)*('Shuffled Matches'!$G$3:$G$107="Men's Singles 1")*IFERROR(--_xlfn.TEXTBEFORE('Shuffled Matches'!$K$3:$K$107,"-"),0))+SUMPRODUCT(('Shuffled Matches'!$E$3:$E$107=A46)*('Shuffled Matches'!$G$3:$G$107="Men's Singles 1")*IFERROR(--_xlfn.TEXTAFTER('Shuffled Matches'!$K$3:$K$107,"-"),0))</f>
        <v>47</v>
      </c>
      <c r="D46" s="16">
        <f t="shared" ref="D46:D51" si="3">1+COUNTIF($B$46:$B$51,"&gt;"&amp;B46)+COUNTIFS($B$46:$B$51,B46,$C$46:$C$51,"&gt;"&amp;C46)+COUNTIFS($B$46:$B$51,B46,$C$46:$C$51,C46,$A$46:$A$51,"&lt;"&amp;A46)</f>
        <v>4</v>
      </c>
      <c r="E46" s="13" t="str">
        <f>IF(COUNTIFS('Shuffled Matches'!$G$3:$G$107,"Men's Singles 1",'Shuffled Matches'!$K$3:$K$107,"&lt;&gt;")=0,"Pending",IF(D46&lt;=4,"Top 4","Eliminated"))</f>
        <v>Top 4</v>
      </c>
      <c r="F46" s="13"/>
      <c r="G46" s="17">
        <v>1</v>
      </c>
      <c r="H46" s="18" t="str">
        <f>IF(COUNTIFS('Shuffled Matches'!$G$3:$G$107,"Men's Singles 1",'Shuffled Matches'!$K$3:$K$107,"&lt;&gt;")=0,"",_xlfn.XLOOKUP(G46,$D$46:$D$51,$A$46:$A$51,""))</f>
        <v>Team 3</v>
      </c>
      <c r="I46" s="17">
        <f>IF(H46="","",_xlfn.XLOOKUP(G46,$D$46:$D$51,$B$46:$B$51,""))</f>
        <v>3</v>
      </c>
      <c r="J46" s="17">
        <f>IF(H46="","",_xlfn.XLOOKUP(G46,$D$46:$D$51,$C$46:$C$51,""))</f>
        <v>77</v>
      </c>
      <c r="K46" s="13"/>
    </row>
    <row r="47" spans="1:11" x14ac:dyDescent="0.15">
      <c r="A47" s="15" t="s">
        <v>3</v>
      </c>
      <c r="B47" s="16">
        <f>COUNTIFS('Shuffled Matches'!$L$3:$L$107,A47,'Shuffled Matches'!$G$3:$G$107,"Men's Singles 1")</f>
        <v>0</v>
      </c>
      <c r="C47" s="16" cm="1">
        <f t="array" ref="C47">SUMPRODUCT(('Shuffled Matches'!$D$3:$D$107=A47)*('Shuffled Matches'!$G$3:$G$107="Men's Singles 1")*IFERROR(--_xlfn.TEXTBEFORE('Shuffled Matches'!$K$3:$K$107,"-"),0))+SUMPRODUCT(('Shuffled Matches'!$E$3:$E$107=A47)*('Shuffled Matches'!$G$3:$G$107="Men's Singles 1")*IFERROR(--_xlfn.TEXTAFTER('Shuffled Matches'!$K$3:$K$107,"-"),0))</f>
        <v>30</v>
      </c>
      <c r="D47" s="16">
        <f t="shared" si="3"/>
        <v>5</v>
      </c>
      <c r="E47" s="13" t="str">
        <f>IF(COUNTIFS('Shuffled Matches'!$G$3:$G$107,"Men's Singles 1",'Shuffled Matches'!$K$3:$K$107,"&lt;&gt;")=0,"Pending",IF(D47&lt;=4,"Top 4","Eliminated"))</f>
        <v>Eliminated</v>
      </c>
      <c r="F47" s="13"/>
      <c r="G47" s="17">
        <v>2</v>
      </c>
      <c r="H47" s="18" t="str">
        <f>IF(COUNTIFS('Shuffled Matches'!$G$3:$G$107,"Men's Singles 1",'Shuffled Matches'!$K$3:$K$107,"&lt;&gt;")=0,"",_xlfn.XLOOKUP(G47,$D$46:$D$51,$A$46:$A$51,""))</f>
        <v>Team 5</v>
      </c>
      <c r="I47" s="17">
        <f>IF(H47="","",_xlfn.XLOOKUP(G47,$D$46:$D$51,$B$46:$B$51,""))</f>
        <v>2</v>
      </c>
      <c r="J47" s="17">
        <f>IF(H47="","",_xlfn.XLOOKUP(G47,$D$46:$D$51,$C$46:$C$51,""))</f>
        <v>42</v>
      </c>
      <c r="K47" s="13"/>
    </row>
    <row r="48" spans="1:11" x14ac:dyDescent="0.15">
      <c r="A48" s="15" t="s">
        <v>28</v>
      </c>
      <c r="B48" s="16">
        <f>COUNTIFS('Shuffled Matches'!$L$3:$L$107,A48,'Shuffled Matches'!$G$3:$G$107,"Men's Singles 1")</f>
        <v>3</v>
      </c>
      <c r="C48" s="16" cm="1">
        <f t="array" ref="C48">SUMPRODUCT(('Shuffled Matches'!$D$3:$D$107=A48)*('Shuffled Matches'!$G$3:$G$107="Men's Singles 1")*IFERROR(--_xlfn.TEXTBEFORE('Shuffled Matches'!$K$3:$K$107,"-"),0))+SUMPRODUCT(('Shuffled Matches'!$E$3:$E$107=A48)*('Shuffled Matches'!$G$3:$G$107="Men's Singles 1")*IFERROR(--_xlfn.TEXTAFTER('Shuffled Matches'!$K$3:$K$107,"-"),0))</f>
        <v>77</v>
      </c>
      <c r="D48" s="16">
        <f t="shared" si="3"/>
        <v>1</v>
      </c>
      <c r="E48" s="13" t="str">
        <f>IF(COUNTIFS('Shuffled Matches'!$G$3:$G$107,"Men's Singles 1",'Shuffled Matches'!$K$3:$K$107,"&lt;&gt;")=0,"Pending",IF(D48&lt;=4,"Top 4","Eliminated"))</f>
        <v>Top 4</v>
      </c>
      <c r="F48" s="13"/>
      <c r="G48" s="17">
        <v>3</v>
      </c>
      <c r="H48" s="18" t="str">
        <f>IF(COUNTIFS('Shuffled Matches'!$G$3:$G$107,"Men's Singles 1",'Shuffled Matches'!$K$3:$K$107,"&lt;&gt;")=0,"",_xlfn.XLOOKUP(G48,$D$46:$D$51,$A$46:$A$51,""))</f>
        <v>Team 6</v>
      </c>
      <c r="I48" s="17">
        <f>IF(H48="","",_xlfn.XLOOKUP(G48,$D$46:$D$51,$B$46:$B$51,""))</f>
        <v>1</v>
      </c>
      <c r="J48" s="17">
        <f>IF(H48="","",_xlfn.XLOOKUP(G48,$D$46:$D$51,$C$46:$C$51,""))</f>
        <v>52</v>
      </c>
      <c r="K48" s="13"/>
    </row>
    <row r="49" spans="1:11" x14ac:dyDescent="0.15">
      <c r="A49" s="15" t="s">
        <v>24</v>
      </c>
      <c r="B49" s="16">
        <f>COUNTIFS('Shuffled Matches'!$L$3:$L$107,A49,'Shuffled Matches'!$G$3:$G$107,"Men's Singles 1")</f>
        <v>0</v>
      </c>
      <c r="C49" s="16" cm="1">
        <f t="array" ref="C49">SUMPRODUCT(('Shuffled Matches'!$D$3:$D$107=A49)*('Shuffled Matches'!$G$3:$G$107="Men's Singles 1")*IFERROR(--_xlfn.TEXTBEFORE('Shuffled Matches'!$K$3:$K$107,"-"),0))+SUMPRODUCT(('Shuffled Matches'!$E$3:$E$107=A49)*('Shuffled Matches'!$G$3:$G$107="Men's Singles 1")*IFERROR(--_xlfn.TEXTAFTER('Shuffled Matches'!$K$3:$K$107,"-"),0))</f>
        <v>0</v>
      </c>
      <c r="D49" s="16">
        <f t="shared" si="3"/>
        <v>6</v>
      </c>
      <c r="E49" s="13" t="str">
        <f>IF(COUNTIFS('Shuffled Matches'!$G$3:$G$107,"Men's Singles 1",'Shuffled Matches'!$K$3:$K$107,"&lt;&gt;")=0,"Pending",IF(D49&lt;=4,"Top 4","Eliminated"))</f>
        <v>Eliminated</v>
      </c>
      <c r="F49" s="13"/>
      <c r="G49" s="17">
        <v>4</v>
      </c>
      <c r="H49" s="18" t="str">
        <f>IF(COUNTIFS('Shuffled Matches'!$G$3:$G$107,"Men's Singles 1",'Shuffled Matches'!$K$3:$K$107,"&lt;&gt;")=0,"",_xlfn.XLOOKUP(G49,$D$46:$D$51,$A$46:$A$51,""))</f>
        <v>Team 1</v>
      </c>
      <c r="I49" s="17">
        <f>IF(H49="","",_xlfn.XLOOKUP(G49,$D$46:$D$51,$B$46:$B$51,""))</f>
        <v>1</v>
      </c>
      <c r="J49" s="17">
        <f>IF(H49="","",_xlfn.XLOOKUP(G49,$D$46:$D$51,$C$46:$C$51,""))</f>
        <v>47</v>
      </c>
      <c r="K49" s="13"/>
    </row>
    <row r="50" spans="1:11" x14ac:dyDescent="0.15">
      <c r="A50" s="15" t="s">
        <v>13</v>
      </c>
      <c r="B50" s="16">
        <f>COUNTIFS('Shuffled Matches'!$L$3:$L$107,A50,'Shuffled Matches'!$G$3:$G$107,"Men's Singles 1")</f>
        <v>2</v>
      </c>
      <c r="C50" s="16" cm="1">
        <f t="array" ref="C50">SUMPRODUCT(('Shuffled Matches'!$D$3:$D$107=A50)*('Shuffled Matches'!$G$3:$G$107="Men's Singles 1")*IFERROR(--_xlfn.TEXTBEFORE('Shuffled Matches'!$K$3:$K$107,"-"),0))+SUMPRODUCT(('Shuffled Matches'!$E$3:$E$107=A50)*('Shuffled Matches'!$G$3:$G$107="Men's Singles 1")*IFERROR(--_xlfn.TEXTAFTER('Shuffled Matches'!$K$3:$K$107,"-"),0))</f>
        <v>42</v>
      </c>
      <c r="D50" s="16">
        <f t="shared" si="3"/>
        <v>2</v>
      </c>
      <c r="E50" s="13" t="str">
        <f>IF(COUNTIFS('Shuffled Matches'!$G$3:$G$107,"Men's Singles 1",'Shuffled Matches'!$K$3:$K$107,"&lt;&gt;")=0,"Pending",IF(D50&lt;=4,"Top 4","Eliminated"))</f>
        <v>Top 4</v>
      </c>
      <c r="F50" s="13"/>
      <c r="G50" s="13"/>
      <c r="H50" s="13"/>
      <c r="I50" s="13"/>
      <c r="J50" s="13"/>
      <c r="K50" s="13"/>
    </row>
    <row r="51" spans="1:11" x14ac:dyDescent="0.15">
      <c r="A51" s="15" t="s">
        <v>14</v>
      </c>
      <c r="B51" s="16">
        <f>COUNTIFS('Shuffled Matches'!$L$3:$L$107,A51,'Shuffled Matches'!$G$3:$G$107,"Men's Singles 1")</f>
        <v>1</v>
      </c>
      <c r="C51" s="16" cm="1">
        <f t="array" ref="C51">SUMPRODUCT(('Shuffled Matches'!$D$3:$D$107=A51)*('Shuffled Matches'!$G$3:$G$107="Men's Singles 1")*IFERROR(--_xlfn.TEXTBEFORE('Shuffled Matches'!$K$3:$K$107,"-"),0))+SUMPRODUCT(('Shuffled Matches'!$E$3:$E$107=A51)*('Shuffled Matches'!$G$3:$G$107="Men's Singles 1")*IFERROR(--_xlfn.TEXTAFTER('Shuffled Matches'!$K$3:$K$107,"-"),0))</f>
        <v>52</v>
      </c>
      <c r="D51" s="16">
        <f t="shared" si="3"/>
        <v>3</v>
      </c>
      <c r="E51" s="13" t="str">
        <f>IF(COUNTIFS('Shuffled Matches'!$G$3:$G$107,"Men's Singles 1",'Shuffled Matches'!$K$3:$K$107,"&lt;&gt;")=0,"Pending",IF(D51&lt;=4,"Top 4","Eliminated"))</f>
        <v>Top 4</v>
      </c>
      <c r="F51" s="13"/>
      <c r="G51" s="13"/>
      <c r="H51" s="13"/>
      <c r="I51" s="13"/>
      <c r="J51" s="13"/>
      <c r="K51" s="13"/>
    </row>
    <row r="52" spans="1:11" x14ac:dyDescent="0.1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</row>
    <row r="53" spans="1:11" x14ac:dyDescent="0.1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</row>
    <row r="54" spans="1:11" x14ac:dyDescent="0.1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</row>
    <row r="55" spans="1:11" x14ac:dyDescent="0.1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</row>
    <row r="56" spans="1:11" x14ac:dyDescent="0.1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</row>
    <row r="57" spans="1:11" x14ac:dyDescent="0.15">
      <c r="A57" s="35" t="s">
        <v>123</v>
      </c>
      <c r="B57" s="35"/>
      <c r="C57" s="35"/>
      <c r="D57" s="35"/>
      <c r="E57" s="35"/>
      <c r="F57" s="35"/>
      <c r="G57" s="35"/>
      <c r="H57" s="35"/>
      <c r="I57" s="35"/>
      <c r="J57" s="35"/>
      <c r="K57" s="35"/>
    </row>
    <row r="58" spans="1:11" x14ac:dyDescent="0.15">
      <c r="A58" s="34" t="s">
        <v>113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</row>
    <row r="59" spans="1:11" x14ac:dyDescent="0.15">
      <c r="A59" s="12" t="s">
        <v>114</v>
      </c>
      <c r="B59" s="12" t="s">
        <v>115</v>
      </c>
      <c r="C59" s="12" t="s">
        <v>116</v>
      </c>
      <c r="D59" s="12" t="s">
        <v>117</v>
      </c>
      <c r="E59" s="12" t="s">
        <v>118</v>
      </c>
      <c r="F59" s="13"/>
      <c r="G59" s="14" t="s">
        <v>117</v>
      </c>
      <c r="H59" s="14" t="s">
        <v>119</v>
      </c>
      <c r="I59" s="14" t="s">
        <v>115</v>
      </c>
      <c r="J59" s="14" t="s">
        <v>116</v>
      </c>
      <c r="K59" s="13"/>
    </row>
    <row r="60" spans="1:11" x14ac:dyDescent="0.15">
      <c r="A60" s="15" t="s">
        <v>2</v>
      </c>
      <c r="B60" s="16">
        <f>COUNTIFS('Shuffled Matches'!$L$3:$L$107,A60,'Shuffled Matches'!$G$3:$G$107,"Men's Singles 2")</f>
        <v>1</v>
      </c>
      <c r="C60" s="16" cm="1">
        <f t="array" ref="C60">SUMPRODUCT(('Shuffled Matches'!$D$3:$D$107=A60)*('Shuffled Matches'!$G$3:$G$107="Men's Singles 2")*IFERROR(--_xlfn.TEXTBEFORE('Shuffled Matches'!$K$3:$K$107,"-"),0))+SUMPRODUCT(('Shuffled Matches'!$E$3:$E$107=A60)*('Shuffled Matches'!$G$3:$G$107="Men's Singles 2")*IFERROR(--_xlfn.TEXTAFTER('Shuffled Matches'!$K$3:$K$107,"-"),0))</f>
        <v>32</v>
      </c>
      <c r="D60" s="16">
        <f t="shared" ref="D60:D65" si="4">1+COUNTIF($B$60:$B$65,"&gt;"&amp;B60)+COUNTIFS($B$60:$B$65,B60,$C$60:$C$65,"&gt;"&amp;C60)+COUNTIFS($B$60:$B$65,B60,$C$60:$C$65,C60,$A$60:$A$65,"&lt;"&amp;A60)</f>
        <v>4</v>
      </c>
      <c r="E60" s="13" t="str">
        <f>IF(COUNTIFS('Shuffled Matches'!$G$3:$G$107,"Men's Singles 2",'Shuffled Matches'!$K$3:$K$107,"&lt;&gt;")=0,"Pending",IF(D60&lt;=4,"Top 4","Eliminated"))</f>
        <v>Top 4</v>
      </c>
      <c r="F60" s="13"/>
      <c r="G60" s="17">
        <v>1</v>
      </c>
      <c r="H60" s="18" t="str">
        <f>IF(COUNTIFS('Shuffled Matches'!$G$3:$G$107,"Men's Singles 2",'Shuffled Matches'!$K$3:$K$107,"&lt;&gt;")=0,"",_xlfn.XLOOKUP(G60,$D$60:$D$65,$A$60:$A$65,""))</f>
        <v>Team 4</v>
      </c>
      <c r="I60" s="17">
        <f>IF(H60="","",_xlfn.XLOOKUP(G60,$D$60:$D$65,$B$60:$B$65,""))</f>
        <v>4</v>
      </c>
      <c r="J60" s="17">
        <f>IF(H60="","",_xlfn.XLOOKUP(G60,$D$60:$D$65,$C$60:$C$65,""))</f>
        <v>84</v>
      </c>
      <c r="K60" s="13"/>
    </row>
    <row r="61" spans="1:11" x14ac:dyDescent="0.15">
      <c r="A61" s="15" t="s">
        <v>3</v>
      </c>
      <c r="B61" s="16">
        <f>COUNTIFS('Shuffled Matches'!$L$3:$L$107,A61,'Shuffled Matches'!$G$3:$G$107,"Men's Singles 2")</f>
        <v>0</v>
      </c>
      <c r="C61" s="16" cm="1">
        <f t="array" ref="C61">SUMPRODUCT(('Shuffled Matches'!$D$3:$D$107=A61)*('Shuffled Matches'!$G$3:$G$107="Men's Singles 2")*IFERROR(--_xlfn.TEXTBEFORE('Shuffled Matches'!$K$3:$K$107,"-"),0))+SUMPRODUCT(('Shuffled Matches'!$E$3:$E$107=A61)*('Shuffled Matches'!$G$3:$G$107="Men's Singles 2")*IFERROR(--_xlfn.TEXTAFTER('Shuffled Matches'!$K$3:$K$107,"-"),0))</f>
        <v>32</v>
      </c>
      <c r="D61" s="16">
        <f t="shared" si="4"/>
        <v>6</v>
      </c>
      <c r="E61" s="13" t="str">
        <f>IF(COUNTIFS('Shuffled Matches'!$G$3:$G$107,"Men's Singles 2",'Shuffled Matches'!$K$3:$K$107,"&lt;&gt;")=0,"Pending",IF(D61&lt;=4,"Top 4","Eliminated"))</f>
        <v>Eliminated</v>
      </c>
      <c r="F61" s="13"/>
      <c r="G61" s="17">
        <v>2</v>
      </c>
      <c r="H61" s="18" t="str">
        <f>IF(COUNTIFS('Shuffled Matches'!$G$3:$G$107,"Men's Singles 2",'Shuffled Matches'!$K$3:$K$107,"&lt;&gt;")=0,"",_xlfn.XLOOKUP(G61,$D$60:$D$65,$A$60:$A$65,""))</f>
        <v>Team 5</v>
      </c>
      <c r="I61" s="17">
        <f>IF(H61="","",_xlfn.XLOOKUP(G61,$D$60:$D$65,$B$60:$B$65,""))</f>
        <v>3</v>
      </c>
      <c r="J61" s="17">
        <f>IF(H61="","",_xlfn.XLOOKUP(G61,$D$60:$D$65,$C$60:$C$65,""))</f>
        <v>76</v>
      </c>
      <c r="K61" s="13"/>
    </row>
    <row r="62" spans="1:11" x14ac:dyDescent="0.15">
      <c r="A62" s="15" t="s">
        <v>28</v>
      </c>
      <c r="B62" s="16">
        <f>COUNTIFS('Shuffled Matches'!$L$3:$L$107,A62,'Shuffled Matches'!$G$3:$G$107,"Men's Singles 2")</f>
        <v>1</v>
      </c>
      <c r="C62" s="16" cm="1">
        <f t="array" ref="C62">SUMPRODUCT(('Shuffled Matches'!$D$3:$D$107=A62)*('Shuffled Matches'!$G$3:$G$107="Men's Singles 2")*IFERROR(--_xlfn.TEXTBEFORE('Shuffled Matches'!$K$3:$K$107,"-"),0))+SUMPRODUCT(('Shuffled Matches'!$E$3:$E$107=A62)*('Shuffled Matches'!$G$3:$G$107="Men's Singles 2")*IFERROR(--_xlfn.TEXTAFTER('Shuffled Matches'!$K$3:$K$107,"-"),0))</f>
        <v>32</v>
      </c>
      <c r="D62" s="16">
        <f t="shared" si="4"/>
        <v>5</v>
      </c>
      <c r="E62" s="13" t="str">
        <f>IF(COUNTIFS('Shuffled Matches'!$G$3:$G$107,"Men's Singles 2",'Shuffled Matches'!$K$3:$K$107,"&lt;&gt;")=0,"Pending",IF(D62&lt;=4,"Top 4","Eliminated"))</f>
        <v>Eliminated</v>
      </c>
      <c r="F62" s="13"/>
      <c r="G62" s="17">
        <v>3</v>
      </c>
      <c r="H62" s="18" t="str">
        <f>IF(COUNTIFS('Shuffled Matches'!$G$3:$G$107,"Men's Singles 2",'Shuffled Matches'!$K$3:$K$107,"&lt;&gt;")=0,"",_xlfn.XLOOKUP(G62,$D$60:$D$65,$A$60:$A$65,""))</f>
        <v>Team 6</v>
      </c>
      <c r="I62" s="17">
        <f>IF(H62="","",_xlfn.XLOOKUP(G62,$D$60:$D$65,$B$60:$B$65,""))</f>
        <v>1</v>
      </c>
      <c r="J62" s="17">
        <f>IF(H62="","",_xlfn.XLOOKUP(G62,$D$60:$D$65,$C$60:$C$65,""))</f>
        <v>36</v>
      </c>
      <c r="K62" s="13"/>
    </row>
    <row r="63" spans="1:11" x14ac:dyDescent="0.15">
      <c r="A63" s="15" t="s">
        <v>24</v>
      </c>
      <c r="B63" s="16">
        <f>COUNTIFS('Shuffled Matches'!$L$3:$L$107,A63,'Shuffled Matches'!$G$3:$G$107,"Men's Singles 2")</f>
        <v>4</v>
      </c>
      <c r="C63" s="16" cm="1">
        <f t="array" ref="C63">SUMPRODUCT(('Shuffled Matches'!$D$3:$D$107=A63)*('Shuffled Matches'!$G$3:$G$107="Men's Singles 2")*IFERROR(--_xlfn.TEXTBEFORE('Shuffled Matches'!$K$3:$K$107,"-"),0))+SUMPRODUCT(('Shuffled Matches'!$E$3:$E$107=A63)*('Shuffled Matches'!$G$3:$G$107="Men's Singles 2")*IFERROR(--_xlfn.TEXTAFTER('Shuffled Matches'!$K$3:$K$107,"-"),0))</f>
        <v>84</v>
      </c>
      <c r="D63" s="16">
        <f t="shared" si="4"/>
        <v>1</v>
      </c>
      <c r="E63" s="13" t="str">
        <f>IF(COUNTIFS('Shuffled Matches'!$G$3:$G$107,"Men's Singles 2",'Shuffled Matches'!$K$3:$K$107,"&lt;&gt;")=0,"Pending",IF(D63&lt;=4,"Top 4","Eliminated"))</f>
        <v>Top 4</v>
      </c>
      <c r="F63" s="13"/>
      <c r="G63" s="17">
        <v>4</v>
      </c>
      <c r="H63" s="18" t="str">
        <f>IF(COUNTIFS('Shuffled Matches'!$G$3:$G$107,"Men's Singles 2",'Shuffled Matches'!$K$3:$K$107,"&lt;&gt;")=0,"",_xlfn.XLOOKUP(G63,$D$60:$D$65,$A$60:$A$65,""))</f>
        <v>Team 1</v>
      </c>
      <c r="I63" s="17">
        <f>IF(H63="","",_xlfn.XLOOKUP(G63,$D$60:$D$65,$B$60:$B$65,""))</f>
        <v>1</v>
      </c>
      <c r="J63" s="17">
        <f>IF(H63="","",_xlfn.XLOOKUP(G63,$D$60:$D$65,$C$60:$C$65,""))</f>
        <v>32</v>
      </c>
      <c r="K63" s="13"/>
    </row>
    <row r="64" spans="1:11" x14ac:dyDescent="0.15">
      <c r="A64" s="15" t="s">
        <v>13</v>
      </c>
      <c r="B64" s="16">
        <f>COUNTIFS('Shuffled Matches'!$L$3:$L$107,A64,'Shuffled Matches'!$G$3:$G$107,"Men's Singles 2")</f>
        <v>3</v>
      </c>
      <c r="C64" s="16" cm="1">
        <f t="array" ref="C64">SUMPRODUCT(('Shuffled Matches'!$D$3:$D$107=A64)*('Shuffled Matches'!$G$3:$G$107="Men's Singles 2")*IFERROR(--_xlfn.TEXTBEFORE('Shuffled Matches'!$K$3:$K$107,"-"),0))+SUMPRODUCT(('Shuffled Matches'!$E$3:$E$107=A64)*('Shuffled Matches'!$G$3:$G$107="Men's Singles 2")*IFERROR(--_xlfn.TEXTAFTER('Shuffled Matches'!$K$3:$K$107,"-"),0))</f>
        <v>76</v>
      </c>
      <c r="D64" s="16">
        <f t="shared" si="4"/>
        <v>2</v>
      </c>
      <c r="E64" s="13" t="str">
        <f>IF(COUNTIFS('Shuffled Matches'!$G$3:$G$107,"Men's Singles 2",'Shuffled Matches'!$K$3:$K$107,"&lt;&gt;")=0,"Pending",IF(D64&lt;=4,"Top 4","Eliminated"))</f>
        <v>Top 4</v>
      </c>
      <c r="F64" s="13"/>
      <c r="G64" s="13"/>
      <c r="H64" s="13"/>
      <c r="I64" s="13"/>
      <c r="J64" s="13"/>
      <c r="K64" s="13"/>
    </row>
    <row r="65" spans="1:11" x14ac:dyDescent="0.15">
      <c r="A65" s="15" t="s">
        <v>14</v>
      </c>
      <c r="B65" s="16">
        <f>COUNTIFS('Shuffled Matches'!$L$3:$L$107,A65,'Shuffled Matches'!$G$3:$G$107,"Men's Singles 2")</f>
        <v>1</v>
      </c>
      <c r="C65" s="16" cm="1">
        <f t="array" ref="C65">SUMPRODUCT(('Shuffled Matches'!$D$3:$D$107=A65)*('Shuffled Matches'!$G$3:$G$107="Men's Singles 2")*IFERROR(--_xlfn.TEXTBEFORE('Shuffled Matches'!$K$3:$K$107,"-"),0))+SUMPRODUCT(('Shuffled Matches'!$E$3:$E$107=A65)*('Shuffled Matches'!$G$3:$G$107="Men's Singles 2")*IFERROR(--_xlfn.TEXTAFTER('Shuffled Matches'!$K$3:$K$107,"-"),0))</f>
        <v>36</v>
      </c>
      <c r="D65" s="16">
        <f t="shared" si="4"/>
        <v>3</v>
      </c>
      <c r="E65" s="13" t="str">
        <f>IF(COUNTIFS('Shuffled Matches'!$G$3:$G$107,"Men's Singles 2",'Shuffled Matches'!$K$3:$K$107,"&lt;&gt;")=0,"Pending",IF(D65&lt;=4,"Top 4","Eliminated"))</f>
        <v>Top 4</v>
      </c>
      <c r="F65" s="13"/>
      <c r="G65" s="13"/>
      <c r="H65" s="13"/>
      <c r="I65" s="13"/>
      <c r="J65" s="13"/>
      <c r="K65" s="13"/>
    </row>
    <row r="66" spans="1:11" x14ac:dyDescent="0.15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</row>
    <row r="67" spans="1:11" x14ac:dyDescent="0.15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</row>
    <row r="68" spans="1:11" x14ac:dyDescent="0.15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</row>
    <row r="69" spans="1:11" x14ac:dyDescent="0.15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</row>
    <row r="70" spans="1:11" x14ac:dyDescent="0.15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</row>
    <row r="71" spans="1:11" x14ac:dyDescent="0.15">
      <c r="A71" s="35" t="s">
        <v>124</v>
      </c>
      <c r="B71" s="35"/>
      <c r="C71" s="35"/>
      <c r="D71" s="35"/>
      <c r="E71" s="35"/>
      <c r="F71" s="35"/>
      <c r="G71" s="35"/>
      <c r="H71" s="35"/>
      <c r="I71" s="35"/>
      <c r="J71" s="35"/>
      <c r="K71" s="35"/>
    </row>
    <row r="72" spans="1:11" x14ac:dyDescent="0.15">
      <c r="A72" s="34" t="s">
        <v>113</v>
      </c>
      <c r="B72" s="34"/>
      <c r="C72" s="34"/>
      <c r="D72" s="34"/>
      <c r="E72" s="34"/>
      <c r="F72" s="34"/>
      <c r="G72" s="34"/>
      <c r="H72" s="34"/>
      <c r="I72" s="34"/>
      <c r="J72" s="34"/>
      <c r="K72" s="34"/>
    </row>
    <row r="73" spans="1:11" x14ac:dyDescent="0.15">
      <c r="A73" s="12" t="s">
        <v>114</v>
      </c>
      <c r="B73" s="12" t="s">
        <v>115</v>
      </c>
      <c r="C73" s="12" t="s">
        <v>116</v>
      </c>
      <c r="D73" s="12" t="s">
        <v>117</v>
      </c>
      <c r="E73" s="12" t="s">
        <v>118</v>
      </c>
      <c r="F73" s="13"/>
      <c r="G73" s="14" t="s">
        <v>117</v>
      </c>
      <c r="H73" s="14" t="s">
        <v>119</v>
      </c>
      <c r="I73" s="14" t="s">
        <v>115</v>
      </c>
      <c r="J73" s="14" t="s">
        <v>116</v>
      </c>
      <c r="K73" s="13"/>
    </row>
    <row r="74" spans="1:11" x14ac:dyDescent="0.15">
      <c r="A74" s="15" t="s">
        <v>2</v>
      </c>
      <c r="B74" s="16">
        <f>COUNTIFS('Shuffled Matches'!$L$3:$L$107,A74,'Shuffled Matches'!$G$3:$G$107,"Men's Doubles 1")</f>
        <v>1</v>
      </c>
      <c r="C74" s="16" cm="1">
        <f t="array" ref="C74">SUMPRODUCT(('Shuffled Matches'!$D$3:$D$107=A74)*('Shuffled Matches'!$G$3:$G$107="Men's Doubles 1")*IFERROR(--_xlfn.TEXTBEFORE('Shuffled Matches'!$K$3:$K$107,"-"),0))+SUMPRODUCT(('Shuffled Matches'!$E$3:$E$107=A74)*('Shuffled Matches'!$G$3:$G$107="Men's Doubles 1")*IFERROR(--_xlfn.TEXTAFTER('Shuffled Matches'!$K$3:$K$107,"-"),0))</f>
        <v>51</v>
      </c>
      <c r="D74" s="16">
        <f t="shared" ref="D74:D79" si="5">1+COUNTIF($B$74:$B$79,"&gt;"&amp;B74)+COUNTIFS($B$74:$B$79,B74,$C$74:$C$79,"&gt;"&amp;C74)+COUNTIFS($B$74:$B$79,B74,$C$74:$C$79,C74,$A$74:$A$79,"&lt;"&amp;A74)</f>
        <v>3</v>
      </c>
      <c r="E74" s="13" t="str">
        <f>IF(COUNTIFS('Shuffled Matches'!$G$3:$G$107,"Men's Doubles 1",'Shuffled Matches'!$K$3:$K$107,"&lt;&gt;")=0,"Pending",IF(D74&lt;=4,"Top 4","Eliminated"))</f>
        <v>Top 4</v>
      </c>
      <c r="F74" s="13"/>
      <c r="G74" s="17">
        <v>1</v>
      </c>
      <c r="H74" s="18" t="str">
        <f>IF(COUNTIFS('Shuffled Matches'!$G$3:$G$107,"Men's Doubles 1",'Shuffled Matches'!$K$3:$K$107,"&lt;&gt;")=0,"",_xlfn.XLOOKUP(G74,$D$74:$D$79,$A$74:$A$79,""))</f>
        <v>Team 3</v>
      </c>
      <c r="I74" s="17">
        <f>IF(H74="","",_xlfn.XLOOKUP(G74,$D$74:$D$79,$B$74:$B$79,""))</f>
        <v>3</v>
      </c>
      <c r="J74" s="17">
        <f>IF(H74="","",_xlfn.XLOOKUP(G74,$D$74:$D$79,$C$74:$C$79,""))</f>
        <v>63</v>
      </c>
      <c r="K74" s="13"/>
    </row>
    <row r="75" spans="1:11" x14ac:dyDescent="0.15">
      <c r="A75" s="15" t="s">
        <v>3</v>
      </c>
      <c r="B75" s="16">
        <f>COUNTIFS('Shuffled Matches'!$L$3:$L$107,A75,'Shuffled Matches'!$G$3:$G$107,"Men's Doubles 1")</f>
        <v>1</v>
      </c>
      <c r="C75" s="16" cm="1">
        <f t="array" ref="C75">SUMPRODUCT(('Shuffled Matches'!$D$3:$D$107=A75)*('Shuffled Matches'!$G$3:$G$107="Men's Doubles 1")*IFERROR(--_xlfn.TEXTBEFORE('Shuffled Matches'!$K$3:$K$107,"-"),0))+SUMPRODUCT(('Shuffled Matches'!$E$3:$E$107=A75)*('Shuffled Matches'!$G$3:$G$107="Men's Doubles 1")*IFERROR(--_xlfn.TEXTAFTER('Shuffled Matches'!$K$3:$K$107,"-"),0))</f>
        <v>21</v>
      </c>
      <c r="D75" s="16">
        <f t="shared" si="5"/>
        <v>4</v>
      </c>
      <c r="E75" s="13" t="str">
        <f>IF(COUNTIFS('Shuffled Matches'!$G$3:$G$107,"Men's Doubles 1",'Shuffled Matches'!$K$3:$K$107,"&lt;&gt;")=0,"Pending",IF(D75&lt;=4,"Top 4","Eliminated"))</f>
        <v>Top 4</v>
      </c>
      <c r="F75" s="13"/>
      <c r="G75" s="17">
        <v>2</v>
      </c>
      <c r="H75" s="18" t="str">
        <f>IF(COUNTIFS('Shuffled Matches'!$G$3:$G$107,"Men's Doubles 1",'Shuffled Matches'!$K$3:$K$107,"&lt;&gt;")=0,"",_xlfn.XLOOKUP(G75,$D$74:$D$79,$A$74:$A$79,""))</f>
        <v>Team 4</v>
      </c>
      <c r="I75" s="17">
        <f>IF(H75="","",_xlfn.XLOOKUP(G75,$D$74:$D$79,$B$74:$B$79,""))</f>
        <v>2</v>
      </c>
      <c r="J75" s="17">
        <f>IF(H75="","",_xlfn.XLOOKUP(G75,$D$74:$D$79,$C$74:$C$79,""))</f>
        <v>61</v>
      </c>
      <c r="K75" s="13"/>
    </row>
    <row r="76" spans="1:11" x14ac:dyDescent="0.15">
      <c r="A76" s="15" t="s">
        <v>28</v>
      </c>
      <c r="B76" s="16">
        <f>COUNTIFS('Shuffled Matches'!$L$3:$L$107,A76,'Shuffled Matches'!$G$3:$G$107,"Men's Doubles 1")</f>
        <v>3</v>
      </c>
      <c r="C76" s="16" cm="1">
        <f t="array" ref="C76">SUMPRODUCT(('Shuffled Matches'!$D$3:$D$107=A76)*('Shuffled Matches'!$G$3:$G$107="Men's Doubles 1")*IFERROR(--_xlfn.TEXTBEFORE('Shuffled Matches'!$K$3:$K$107,"-"),0))+SUMPRODUCT(('Shuffled Matches'!$E$3:$E$107=A76)*('Shuffled Matches'!$G$3:$G$107="Men's Doubles 1")*IFERROR(--_xlfn.TEXTAFTER('Shuffled Matches'!$K$3:$K$107,"-"),0))</f>
        <v>63</v>
      </c>
      <c r="D76" s="16">
        <f t="shared" si="5"/>
        <v>1</v>
      </c>
      <c r="E76" s="13" t="str">
        <f>IF(COUNTIFS('Shuffled Matches'!$G$3:$G$107,"Men's Doubles 1",'Shuffled Matches'!$K$3:$K$107,"&lt;&gt;")=0,"Pending",IF(D76&lt;=4,"Top 4","Eliminated"))</f>
        <v>Top 4</v>
      </c>
      <c r="F76" s="13"/>
      <c r="G76" s="17">
        <v>3</v>
      </c>
      <c r="H76" s="18" t="str">
        <f>IF(COUNTIFS('Shuffled Matches'!$G$3:$G$107,"Men's Doubles 1",'Shuffled Matches'!$K$3:$K$107,"&lt;&gt;")=0,"",_xlfn.XLOOKUP(G76,$D$74:$D$79,$A$74:$A$79,""))</f>
        <v>Team 1</v>
      </c>
      <c r="I76" s="17">
        <f>IF(H76="","",_xlfn.XLOOKUP(G76,$D$74:$D$79,$B$74:$B$79,""))</f>
        <v>1</v>
      </c>
      <c r="J76" s="17">
        <f>IF(H76="","",_xlfn.XLOOKUP(G76,$D$74:$D$79,$C$74:$C$79,""))</f>
        <v>51</v>
      </c>
      <c r="K76" s="13"/>
    </row>
    <row r="77" spans="1:11" x14ac:dyDescent="0.15">
      <c r="A77" s="15" t="s">
        <v>24</v>
      </c>
      <c r="B77" s="16">
        <f>COUNTIFS('Shuffled Matches'!$L$3:$L$107,A77,'Shuffled Matches'!$G$3:$G$107,"Men's Doubles 1")</f>
        <v>2</v>
      </c>
      <c r="C77" s="16" cm="1">
        <f t="array" ref="C77">SUMPRODUCT(('Shuffled Matches'!$D$3:$D$107=A77)*('Shuffled Matches'!$G$3:$G$107="Men's Doubles 1")*IFERROR(--_xlfn.TEXTBEFORE('Shuffled Matches'!$K$3:$K$107,"-"),0))+SUMPRODUCT(('Shuffled Matches'!$E$3:$E$107=A77)*('Shuffled Matches'!$G$3:$G$107="Men's Doubles 1")*IFERROR(--_xlfn.TEXTAFTER('Shuffled Matches'!$K$3:$K$107,"-"),0))</f>
        <v>61</v>
      </c>
      <c r="D77" s="16">
        <f t="shared" si="5"/>
        <v>2</v>
      </c>
      <c r="E77" s="13" t="str">
        <f>IF(COUNTIFS('Shuffled Matches'!$G$3:$G$107,"Men's Doubles 1",'Shuffled Matches'!$K$3:$K$107,"&lt;&gt;")=0,"Pending",IF(D77&lt;=4,"Top 4","Eliminated"))</f>
        <v>Top 4</v>
      </c>
      <c r="F77" s="13"/>
      <c r="G77" s="17">
        <v>4</v>
      </c>
      <c r="H77" s="18" t="str">
        <f>IF(COUNTIFS('Shuffled Matches'!$G$3:$G$107,"Men's Doubles 1",'Shuffled Matches'!$K$3:$K$107,"&lt;&gt;")=0,"",_xlfn.XLOOKUP(G77,$D$74:$D$79,$A$74:$A$79,""))</f>
        <v>Team 2</v>
      </c>
      <c r="I77" s="17">
        <f>IF(H77="","",_xlfn.XLOOKUP(G77,$D$74:$D$79,$B$74:$B$79,""))</f>
        <v>1</v>
      </c>
      <c r="J77" s="17">
        <f>IF(H77="","",_xlfn.XLOOKUP(G77,$D$74:$D$79,$C$74:$C$79,""))</f>
        <v>21</v>
      </c>
      <c r="K77" s="13"/>
    </row>
    <row r="78" spans="1:11" x14ac:dyDescent="0.15">
      <c r="A78" s="15" t="s">
        <v>13</v>
      </c>
      <c r="B78" s="16">
        <f>COUNTIFS('Shuffled Matches'!$L$3:$L$107,A78,'Shuffled Matches'!$G$3:$G$107,"Men's Doubles 1")</f>
        <v>0</v>
      </c>
      <c r="C78" s="16" cm="1">
        <f t="array" ref="C78">SUMPRODUCT(('Shuffled Matches'!$D$3:$D$107=A78)*('Shuffled Matches'!$G$3:$G$107="Men's Doubles 1")*IFERROR(--_xlfn.TEXTBEFORE('Shuffled Matches'!$K$3:$K$107,"-"),0))+SUMPRODUCT(('Shuffled Matches'!$E$3:$E$107=A78)*('Shuffled Matches'!$G$3:$G$107="Men's Doubles 1")*IFERROR(--_xlfn.TEXTAFTER('Shuffled Matches'!$K$3:$K$107,"-"),0))</f>
        <v>45</v>
      </c>
      <c r="D78" s="16">
        <f t="shared" si="5"/>
        <v>5</v>
      </c>
      <c r="E78" s="13" t="str">
        <f>IF(COUNTIFS('Shuffled Matches'!$G$3:$G$107,"Men's Doubles 1",'Shuffled Matches'!$K$3:$K$107,"&lt;&gt;")=0,"Pending",IF(D78&lt;=4,"Top 4","Eliminated"))</f>
        <v>Eliminated</v>
      </c>
      <c r="F78" s="13"/>
      <c r="G78" s="13"/>
      <c r="H78" s="13"/>
      <c r="I78" s="13"/>
      <c r="J78" s="13"/>
      <c r="K78" s="13"/>
    </row>
    <row r="79" spans="1:11" x14ac:dyDescent="0.15">
      <c r="A79" s="15" t="s">
        <v>14</v>
      </c>
      <c r="B79" s="16">
        <f>COUNTIFS('Shuffled Matches'!$L$3:$L$107,A79,'Shuffled Matches'!$G$3:$G$107,"Men's Doubles 1")</f>
        <v>0</v>
      </c>
      <c r="C79" s="16" cm="1">
        <f t="array" ref="C79">SUMPRODUCT(('Shuffled Matches'!$D$3:$D$107=A79)*('Shuffled Matches'!$G$3:$G$107="Men's Doubles 1")*IFERROR(--_xlfn.TEXTBEFORE('Shuffled Matches'!$K$3:$K$107,"-"),0))+SUMPRODUCT(('Shuffled Matches'!$E$3:$E$107=A79)*('Shuffled Matches'!$G$3:$G$107="Men's Doubles 1")*IFERROR(--_xlfn.TEXTAFTER('Shuffled Matches'!$K$3:$K$107,"-"),0))</f>
        <v>0</v>
      </c>
      <c r="D79" s="16">
        <f t="shared" si="5"/>
        <v>6</v>
      </c>
      <c r="E79" s="13" t="str">
        <f>IF(COUNTIFS('Shuffled Matches'!$G$3:$G$107,"Men's Doubles 1",'Shuffled Matches'!$K$3:$K$107,"&lt;&gt;")=0,"Pending",IF(D79&lt;=4,"Top 4","Eliminated"))</f>
        <v>Eliminated</v>
      </c>
      <c r="F79" s="13"/>
      <c r="G79" s="13"/>
      <c r="H79" s="13"/>
      <c r="I79" s="13"/>
      <c r="J79" s="13"/>
      <c r="K79" s="13"/>
    </row>
    <row r="80" spans="1:11" x14ac:dyDescent="0.15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</row>
    <row r="81" spans="1:11" x14ac:dyDescent="0.15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</row>
    <row r="82" spans="1:11" x14ac:dyDescent="0.15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</row>
    <row r="83" spans="1:11" x14ac:dyDescent="0.15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</row>
    <row r="84" spans="1:11" x14ac:dyDescent="0.15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</row>
    <row r="85" spans="1:11" x14ac:dyDescent="0.15">
      <c r="A85" s="35" t="s">
        <v>125</v>
      </c>
      <c r="B85" s="35"/>
      <c r="C85" s="35"/>
      <c r="D85" s="35"/>
      <c r="E85" s="35"/>
      <c r="F85" s="35"/>
      <c r="G85" s="35"/>
      <c r="H85" s="35"/>
      <c r="I85" s="35"/>
      <c r="J85" s="35"/>
      <c r="K85" s="35"/>
    </row>
    <row r="86" spans="1:11" x14ac:dyDescent="0.15">
      <c r="A86" s="34" t="s">
        <v>113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</row>
    <row r="87" spans="1:11" x14ac:dyDescent="0.15">
      <c r="A87" s="12" t="s">
        <v>114</v>
      </c>
      <c r="B87" s="12" t="s">
        <v>115</v>
      </c>
      <c r="C87" s="12" t="s">
        <v>116</v>
      </c>
      <c r="D87" s="12" t="s">
        <v>117</v>
      </c>
      <c r="E87" s="12" t="s">
        <v>118</v>
      </c>
      <c r="F87" s="13"/>
      <c r="G87" s="14" t="s">
        <v>117</v>
      </c>
      <c r="H87" s="14" t="s">
        <v>119</v>
      </c>
      <c r="I87" s="14" t="s">
        <v>115</v>
      </c>
      <c r="J87" s="14" t="s">
        <v>116</v>
      </c>
      <c r="K87" s="13"/>
    </row>
    <row r="88" spans="1:11" x14ac:dyDescent="0.15">
      <c r="A88" s="15" t="s">
        <v>2</v>
      </c>
      <c r="B88" s="16">
        <f>COUNTIFS('Shuffled Matches'!$L$3:$L$107,A88,'Shuffled Matches'!$G$3:$G$107,"Men's Doubles 2")</f>
        <v>0</v>
      </c>
      <c r="C88" s="16" cm="1">
        <f t="array" ref="C88">SUMPRODUCT(('Shuffled Matches'!$D$3:$D$107=A88)*('Shuffled Matches'!$G$3:$G$107="Men's Doubles 2")*IFERROR(--_xlfn.TEXTBEFORE('Shuffled Matches'!$K$3:$K$107,"-"),0))+SUMPRODUCT(('Shuffled Matches'!$E$3:$E$107=A88)*('Shuffled Matches'!$G$3:$G$107="Men's Doubles 2")*IFERROR(--_xlfn.TEXTAFTER('Shuffled Matches'!$K$3:$K$107,"-"),0))</f>
        <v>33</v>
      </c>
      <c r="D88" s="16">
        <f t="shared" ref="D88:D93" si="6">1+COUNTIF($B$88:$B$93,"&gt;"&amp;B88)+COUNTIFS($B$88:$B$93,B88,$C$88:$C$93,"&gt;"&amp;C88)+COUNTIFS($B$88:$B$93,B88,$C$88:$C$93,C88,$A$88:$A$93,"&lt;"&amp;A88)</f>
        <v>5</v>
      </c>
      <c r="E88" s="13" t="str">
        <f>IF(COUNTIFS('Shuffled Matches'!$G$3:$G$107,"Men's Doubles 2",'Shuffled Matches'!$K$3:$K$107,"&lt;&gt;")=0,"Pending",IF(D88&lt;=4,"Top 4","Eliminated"))</f>
        <v>Eliminated</v>
      </c>
      <c r="F88" s="13"/>
      <c r="G88" s="17">
        <v>1</v>
      </c>
      <c r="H88" s="18" t="str">
        <f>IF(COUNTIFS('Shuffled Matches'!$G$3:$G$107,"Men's Doubles 2",'Shuffled Matches'!$K$3:$K$107,"&lt;&gt;")=0,"",_xlfn.XLOOKUP(G88,$D$88:$D$93,$A$88:$A$93,""))</f>
        <v>Team 3</v>
      </c>
      <c r="I88" s="17">
        <f>IF(H88="","",_xlfn.XLOOKUP(G88,$D$88:$D$93,$B$88:$B$93,""))</f>
        <v>3</v>
      </c>
      <c r="J88" s="17">
        <f>IF(H88="","",_xlfn.XLOOKUP(G88,$D$88:$D$93,$C$88:$C$93,""))</f>
        <v>83</v>
      </c>
      <c r="K88" s="13"/>
    </row>
    <row r="89" spans="1:11" x14ac:dyDescent="0.15">
      <c r="A89" s="15" t="s">
        <v>3</v>
      </c>
      <c r="B89" s="16">
        <f>COUNTIFS('Shuffled Matches'!$L$3:$L$107,A89,'Shuffled Matches'!$G$3:$G$107,"Men's Doubles 2")</f>
        <v>1</v>
      </c>
      <c r="C89" s="16" cm="1">
        <f t="array" ref="C89">SUMPRODUCT(('Shuffled Matches'!$D$3:$D$107=A89)*('Shuffled Matches'!$G$3:$G$107="Men's Doubles 2")*IFERROR(--_xlfn.TEXTBEFORE('Shuffled Matches'!$K$3:$K$107,"-"),0))+SUMPRODUCT(('Shuffled Matches'!$E$3:$E$107=A89)*('Shuffled Matches'!$G$3:$G$107="Men's Doubles 2")*IFERROR(--_xlfn.TEXTAFTER('Shuffled Matches'!$K$3:$K$107,"-"),0))</f>
        <v>36</v>
      </c>
      <c r="D89" s="16">
        <f t="shared" si="6"/>
        <v>4</v>
      </c>
      <c r="E89" s="13" t="str">
        <f>IF(COUNTIFS('Shuffled Matches'!$G$3:$G$107,"Men's Doubles 2",'Shuffled Matches'!$K$3:$K$107,"&lt;&gt;")=0,"Pending",IF(D89&lt;=4,"Top 4","Eliminated"))</f>
        <v>Top 4</v>
      </c>
      <c r="F89" s="13"/>
      <c r="G89" s="17">
        <v>2</v>
      </c>
      <c r="H89" s="18" t="str">
        <f>IF(COUNTIFS('Shuffled Matches'!$G$3:$G$107,"Men's Doubles 2",'Shuffled Matches'!$K$3:$K$107,"&lt;&gt;")=0,"",_xlfn.XLOOKUP(G89,$D$88:$D$93,$A$88:$A$93,""))</f>
        <v>Team 6</v>
      </c>
      <c r="I89" s="17">
        <f>IF(H89="","",_xlfn.XLOOKUP(G89,$D$88:$D$93,$B$88:$B$93,""))</f>
        <v>3</v>
      </c>
      <c r="J89" s="17">
        <f>IF(H89="","",_xlfn.XLOOKUP(G89,$D$88:$D$93,$C$88:$C$93,""))</f>
        <v>63</v>
      </c>
      <c r="K89" s="13"/>
    </row>
    <row r="90" spans="1:11" x14ac:dyDescent="0.15">
      <c r="A90" s="15" t="s">
        <v>28</v>
      </c>
      <c r="B90" s="16">
        <f>COUNTIFS('Shuffled Matches'!$L$3:$L$107,A90,'Shuffled Matches'!$G$3:$G$107,"Men's Doubles 2")</f>
        <v>3</v>
      </c>
      <c r="C90" s="16" cm="1">
        <f t="array" ref="C90">SUMPRODUCT(('Shuffled Matches'!$D$3:$D$107=A90)*('Shuffled Matches'!$G$3:$G$107="Men's Doubles 2")*IFERROR(--_xlfn.TEXTBEFORE('Shuffled Matches'!$K$3:$K$107,"-"),0))+SUMPRODUCT(('Shuffled Matches'!$E$3:$E$107=A90)*('Shuffled Matches'!$G$3:$G$107="Men's Doubles 2")*IFERROR(--_xlfn.TEXTAFTER('Shuffled Matches'!$K$3:$K$107,"-"),0))</f>
        <v>83</v>
      </c>
      <c r="D90" s="16">
        <f t="shared" si="6"/>
        <v>1</v>
      </c>
      <c r="E90" s="13" t="str">
        <f>IF(COUNTIFS('Shuffled Matches'!$G$3:$G$107,"Men's Doubles 2",'Shuffled Matches'!$K$3:$K$107,"&lt;&gt;")=0,"Pending",IF(D90&lt;=4,"Top 4","Eliminated"))</f>
        <v>Top 4</v>
      </c>
      <c r="F90" s="13"/>
      <c r="G90" s="17">
        <v>3</v>
      </c>
      <c r="H90" s="18" t="str">
        <f>IF(COUNTIFS('Shuffled Matches'!$G$3:$G$107,"Men's Doubles 2",'Shuffled Matches'!$K$3:$K$107,"&lt;&gt;")=0,"",_xlfn.XLOOKUP(G90,$D$88:$D$93,$A$88:$A$93,""))</f>
        <v>Team 4</v>
      </c>
      <c r="I90" s="17">
        <f>IF(H90="","",_xlfn.XLOOKUP(G90,$D$88:$D$93,$B$88:$B$93,""))</f>
        <v>2</v>
      </c>
      <c r="J90" s="17">
        <f>IF(H90="","",_xlfn.XLOOKUP(G90,$D$88:$D$93,$C$88:$C$93,""))</f>
        <v>78</v>
      </c>
      <c r="K90" s="13"/>
    </row>
    <row r="91" spans="1:11" x14ac:dyDescent="0.15">
      <c r="A91" s="15" t="s">
        <v>24</v>
      </c>
      <c r="B91" s="16">
        <f>COUNTIFS('Shuffled Matches'!$L$3:$L$107,A91,'Shuffled Matches'!$G$3:$G$107,"Men's Doubles 2")</f>
        <v>2</v>
      </c>
      <c r="C91" s="16" cm="1">
        <f t="array" ref="C91">SUMPRODUCT(('Shuffled Matches'!$D$3:$D$107=A91)*('Shuffled Matches'!$G$3:$G$107="Men's Doubles 2")*IFERROR(--_xlfn.TEXTBEFORE('Shuffled Matches'!$K$3:$K$107,"-"),0))+SUMPRODUCT(('Shuffled Matches'!$E$3:$E$107=A91)*('Shuffled Matches'!$G$3:$G$107="Men's Doubles 2")*IFERROR(--_xlfn.TEXTAFTER('Shuffled Matches'!$K$3:$K$107,"-"),0))</f>
        <v>78</v>
      </c>
      <c r="D91" s="16">
        <f t="shared" si="6"/>
        <v>3</v>
      </c>
      <c r="E91" s="13" t="str">
        <f>IF(COUNTIFS('Shuffled Matches'!$G$3:$G$107,"Men's Doubles 2",'Shuffled Matches'!$K$3:$K$107,"&lt;&gt;")=0,"Pending",IF(D91&lt;=4,"Top 4","Eliminated"))</f>
        <v>Top 4</v>
      </c>
      <c r="F91" s="13"/>
      <c r="G91" s="17">
        <v>4</v>
      </c>
      <c r="H91" s="18" t="str">
        <f>IF(COUNTIFS('Shuffled Matches'!$G$3:$G$107,"Men's Doubles 2",'Shuffled Matches'!$K$3:$K$107,"&lt;&gt;")=0,"",_xlfn.XLOOKUP(G91,$D$88:$D$93,$A$88:$A$93,""))</f>
        <v>Team 2</v>
      </c>
      <c r="I91" s="17">
        <f>IF(H91="","",_xlfn.XLOOKUP(G91,$D$88:$D$93,$B$88:$B$93,""))</f>
        <v>1</v>
      </c>
      <c r="J91" s="17">
        <f>IF(H91="","",_xlfn.XLOOKUP(G91,$D$88:$D$93,$C$88:$C$93,""))</f>
        <v>36</v>
      </c>
      <c r="K91" s="13"/>
    </row>
    <row r="92" spans="1:11" x14ac:dyDescent="0.15">
      <c r="A92" s="15" t="s">
        <v>13</v>
      </c>
      <c r="B92" s="16">
        <f>COUNTIFS('Shuffled Matches'!$L$3:$L$107,A92,'Shuffled Matches'!$G$3:$G$107,"Men's Doubles 2")</f>
        <v>0</v>
      </c>
      <c r="C92" s="16" cm="1">
        <f t="array" ref="C92">SUMPRODUCT(('Shuffled Matches'!$D$3:$D$107=A92)*('Shuffled Matches'!$G$3:$G$107="Men's Doubles 2")*IFERROR(--_xlfn.TEXTBEFORE('Shuffled Matches'!$K$3:$K$107,"-"),0))+SUMPRODUCT(('Shuffled Matches'!$E$3:$E$107=A92)*('Shuffled Matches'!$G$3:$G$107="Men's Doubles 2")*IFERROR(--_xlfn.TEXTAFTER('Shuffled Matches'!$K$3:$K$107,"-"),0))</f>
        <v>22</v>
      </c>
      <c r="D92" s="16">
        <f t="shared" si="6"/>
        <v>6</v>
      </c>
      <c r="E92" s="13" t="str">
        <f>IF(COUNTIFS('Shuffled Matches'!$G$3:$G$107,"Men's Doubles 2",'Shuffled Matches'!$K$3:$K$107,"&lt;&gt;")=0,"Pending",IF(D92&lt;=4,"Top 4","Eliminated"))</f>
        <v>Eliminated</v>
      </c>
      <c r="F92" s="13"/>
      <c r="G92" s="13"/>
      <c r="H92" s="13"/>
      <c r="I92" s="13"/>
      <c r="J92" s="13"/>
      <c r="K92" s="13"/>
    </row>
    <row r="93" spans="1:11" x14ac:dyDescent="0.15">
      <c r="A93" s="15" t="s">
        <v>14</v>
      </c>
      <c r="B93" s="16">
        <f>COUNTIFS('Shuffled Matches'!$L$3:$L$107,A93,'Shuffled Matches'!$G$3:$G$107,"Men's Doubles 2")</f>
        <v>3</v>
      </c>
      <c r="C93" s="16" cm="1">
        <f t="array" ref="C93">SUMPRODUCT(('Shuffled Matches'!$D$3:$D$107=A93)*('Shuffled Matches'!$G$3:$G$107="Men's Doubles 2")*IFERROR(--_xlfn.TEXTBEFORE('Shuffled Matches'!$K$3:$K$107,"-"),0))+SUMPRODUCT(('Shuffled Matches'!$E$3:$E$107=A93)*('Shuffled Matches'!$G$3:$G$107="Men's Doubles 2")*IFERROR(--_xlfn.TEXTAFTER('Shuffled Matches'!$K$3:$K$107,"-"),0))</f>
        <v>63</v>
      </c>
      <c r="D93" s="16">
        <f t="shared" si="6"/>
        <v>2</v>
      </c>
      <c r="E93" s="13" t="str">
        <f>IF(COUNTIFS('Shuffled Matches'!$G$3:$G$107,"Men's Doubles 2",'Shuffled Matches'!$K$3:$K$107,"&lt;&gt;")=0,"Pending",IF(D93&lt;=4,"Top 4","Eliminated"))</f>
        <v>Top 4</v>
      </c>
      <c r="F93" s="13"/>
      <c r="G93" s="13"/>
      <c r="H93" s="13"/>
      <c r="I93" s="13"/>
      <c r="J93" s="13"/>
      <c r="K93" s="13"/>
    </row>
    <row r="94" spans="1:11" x14ac:dyDescent="0.15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</row>
    <row r="95" spans="1:11" x14ac:dyDescent="0.1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</row>
    <row r="96" spans="1:11" x14ac:dyDescent="0.15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</row>
  </sheetData>
  <mergeCells count="14">
    <mergeCell ref="A85:K85"/>
    <mergeCell ref="A86:K86"/>
    <mergeCell ref="A43:K43"/>
    <mergeCell ref="A44:K44"/>
    <mergeCell ref="A57:K57"/>
    <mergeCell ref="A58:K58"/>
    <mergeCell ref="A71:K71"/>
    <mergeCell ref="A72:K72"/>
    <mergeCell ref="A30:K30"/>
    <mergeCell ref="A1:K1"/>
    <mergeCell ref="A2:K2"/>
    <mergeCell ref="A15:K15"/>
    <mergeCell ref="A16:K16"/>
    <mergeCell ref="A29:K29"/>
  </mergeCells>
  <conditionalFormatting sqref="E4:E9">
    <cfRule type="expression" dxfId="20" priority="1">
      <formula>E4="Top 4"</formula>
    </cfRule>
    <cfRule type="expression" dxfId="19" priority="2">
      <formula>E4="Eliminated"</formula>
    </cfRule>
    <cfRule type="expression" dxfId="18" priority="3">
      <formula>E4="Pending"</formula>
    </cfRule>
  </conditionalFormatting>
  <conditionalFormatting sqref="E18:E23">
    <cfRule type="expression" dxfId="17" priority="4">
      <formula>E18="Top 4"</formula>
    </cfRule>
    <cfRule type="expression" dxfId="16" priority="5">
      <formula>E18="Eliminated"</formula>
    </cfRule>
    <cfRule type="expression" dxfId="15" priority="6">
      <formula>E18="Pending"</formula>
    </cfRule>
  </conditionalFormatting>
  <conditionalFormatting sqref="E32:E37">
    <cfRule type="expression" dxfId="14" priority="7">
      <formula>E32="Top 4"</formula>
    </cfRule>
    <cfRule type="expression" dxfId="13" priority="8">
      <formula>E32="Eliminated"</formula>
    </cfRule>
    <cfRule type="expression" dxfId="12" priority="9">
      <formula>E32="Pending"</formula>
    </cfRule>
  </conditionalFormatting>
  <conditionalFormatting sqref="E46:E51">
    <cfRule type="expression" dxfId="11" priority="10">
      <formula>E46="Top 4"</formula>
    </cfRule>
    <cfRule type="expression" dxfId="10" priority="11">
      <formula>E46="Eliminated"</formula>
    </cfRule>
    <cfRule type="expression" dxfId="9" priority="12">
      <formula>E46="Pending"</formula>
    </cfRule>
  </conditionalFormatting>
  <conditionalFormatting sqref="E60:E65">
    <cfRule type="expression" dxfId="8" priority="13">
      <formula>E60="Top 4"</formula>
    </cfRule>
    <cfRule type="expression" dxfId="7" priority="14">
      <formula>E60="Eliminated"</formula>
    </cfRule>
    <cfRule type="expression" dxfId="6" priority="15">
      <formula>E60="Pending"</formula>
    </cfRule>
  </conditionalFormatting>
  <conditionalFormatting sqref="E74:E79">
    <cfRule type="expression" dxfId="5" priority="16">
      <formula>E74="Top 4"</formula>
    </cfRule>
    <cfRule type="expression" dxfId="4" priority="17">
      <formula>E74="Eliminated"</formula>
    </cfRule>
    <cfRule type="expression" dxfId="3" priority="18">
      <formula>E74="Pending"</formula>
    </cfRule>
  </conditionalFormatting>
  <conditionalFormatting sqref="E88:E93">
    <cfRule type="expression" dxfId="2" priority="19">
      <formula>E88="Top 4"</formula>
    </cfRule>
    <cfRule type="expression" dxfId="1" priority="20">
      <formula>E88="Eliminated"</formula>
    </cfRule>
    <cfRule type="expression" dxfId="0" priority="21">
      <formula>E88="Pending"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30B1F-F46A-4917-84C6-A937EF438007}">
  <dimension ref="A1:G47"/>
  <sheetViews>
    <sheetView workbookViewId="0">
      <selection activeCell="J3" sqref="J3"/>
    </sheetView>
  </sheetViews>
  <sheetFormatPr baseColWidth="10" defaultColWidth="8.6640625" defaultRowHeight="12" x14ac:dyDescent="0.15"/>
  <cols>
    <col min="1" max="1" width="11.83203125" style="4" bestFit="1" customWidth="1"/>
    <col min="2" max="2" width="20.5" style="4" bestFit="1" customWidth="1"/>
    <col min="3" max="3" width="27.83203125" style="4" bestFit="1" customWidth="1"/>
    <col min="4" max="4" width="15.5" style="4" bestFit="1" customWidth="1"/>
    <col min="5" max="5" width="9.1640625" style="4" bestFit="1" customWidth="1"/>
    <col min="6" max="6" width="19.1640625" style="4" bestFit="1" customWidth="1"/>
    <col min="7" max="7" width="20.5" style="4" bestFit="1" customWidth="1"/>
    <col min="8" max="16384" width="8.6640625" style="4"/>
  </cols>
  <sheetData>
    <row r="1" spans="1:7" x14ac:dyDescent="0.15">
      <c r="A1" s="37" t="s">
        <v>126</v>
      </c>
      <c r="B1" s="37"/>
      <c r="C1" s="37"/>
      <c r="D1" s="37"/>
      <c r="E1" s="37"/>
      <c r="F1" s="37"/>
      <c r="G1" s="37"/>
    </row>
    <row r="2" spans="1:7" ht="29.25" customHeight="1" x14ac:dyDescent="0.15">
      <c r="A2" s="38" t="s">
        <v>127</v>
      </c>
      <c r="B2" s="38"/>
      <c r="C2" s="38"/>
      <c r="D2" s="38"/>
      <c r="E2" s="38"/>
      <c r="F2" s="38"/>
      <c r="G2" s="38"/>
    </row>
    <row r="3" spans="1:7" x14ac:dyDescent="0.15">
      <c r="A3" s="13"/>
      <c r="B3" s="13"/>
      <c r="C3" s="13"/>
      <c r="D3" s="13"/>
      <c r="E3" s="13"/>
      <c r="F3" s="13"/>
      <c r="G3" s="13"/>
    </row>
    <row r="4" spans="1:7" x14ac:dyDescent="0.15">
      <c r="A4" s="36" t="s">
        <v>128</v>
      </c>
      <c r="B4" s="36"/>
      <c r="C4" s="36"/>
      <c r="D4" s="36"/>
      <c r="E4" s="36"/>
      <c r="F4" s="36"/>
      <c r="G4" s="36"/>
    </row>
    <row r="5" spans="1:7" x14ac:dyDescent="0.15">
      <c r="A5" s="19" t="s">
        <v>117</v>
      </c>
      <c r="B5" s="19" t="s">
        <v>129</v>
      </c>
      <c r="C5" s="19" t="s">
        <v>114</v>
      </c>
      <c r="D5" s="19" t="s">
        <v>130</v>
      </c>
      <c r="E5" s="19" t="s">
        <v>115</v>
      </c>
      <c r="F5" s="19" t="s">
        <v>116</v>
      </c>
      <c r="G5" s="19" t="s">
        <v>131</v>
      </c>
    </row>
    <row r="6" spans="1:7" x14ac:dyDescent="0.15">
      <c r="A6" s="13">
        <v>1</v>
      </c>
      <c r="B6" s="13" t="str">
        <f>INDEX('[1]Qualification Data'!$D$2:$D$7,MATCH($A6,'[1]Qualification Data'!$G$2:$G$7,0))</f>
        <v>Neha P Jain</v>
      </c>
      <c r="C6" s="13" t="str">
        <f>INDEX('[1]Qualification Data'!$C$2:$C$7,MATCH($A6,'[1]Qualification Data'!$G$2:$G$7,0))</f>
        <v>Team 6</v>
      </c>
      <c r="D6" s="13" t="str">
        <f>INDEX('[1]Qualification Data'!$B$2:$B$7,MATCH($A6,'[1]Qualification Data'!$G$2:$G$7,0))</f>
        <v>Women's Singles</v>
      </c>
      <c r="E6" s="13">
        <f>INDEX('[1]Qualification Data'!$E$2:$E$7,MATCH($A6,'[1]Qualification Data'!$G$2:$G$7,0))</f>
        <v>3</v>
      </c>
      <c r="F6" s="13">
        <f>INDEX('[1]Qualification Data'!$F$2:$F$7,MATCH($A6,'[1]Qualification Data'!$G$2:$G$7,0))</f>
        <v>63</v>
      </c>
      <c r="G6" s="13" t="s">
        <v>132</v>
      </c>
    </row>
    <row r="7" spans="1:7" x14ac:dyDescent="0.15">
      <c r="A7" s="13">
        <v>2</v>
      </c>
      <c r="B7" s="13" t="str">
        <f>INDEX('[1]Qualification Data'!$D$2:$D$7,MATCH($A7,'[1]Qualification Data'!$G$2:$G$7,0))</f>
        <v>Vaishnavi M</v>
      </c>
      <c r="C7" s="13" t="str">
        <f>INDEX('[1]Qualification Data'!$C$2:$C$7,MATCH($A7,'[1]Qualification Data'!$G$2:$G$7,0))</f>
        <v>Team 2</v>
      </c>
      <c r="D7" s="13" t="str">
        <f>INDEX('[1]Qualification Data'!$B$2:$B$7,MATCH($A7,'[1]Qualification Data'!$G$2:$G$7,0))</f>
        <v>Women's Singles</v>
      </c>
      <c r="E7" s="13">
        <f>INDEX('[1]Qualification Data'!$E$2:$E$7,MATCH($A7,'[1]Qualification Data'!$G$2:$G$7,0))</f>
        <v>2</v>
      </c>
      <c r="F7" s="13">
        <f>INDEX('[1]Qualification Data'!$F$2:$F$7,MATCH($A7,'[1]Qualification Data'!$G$2:$G$7,0))</f>
        <v>42</v>
      </c>
      <c r="G7" s="13" t="s">
        <v>132</v>
      </c>
    </row>
    <row r="8" spans="1:7" x14ac:dyDescent="0.15">
      <c r="A8" s="13">
        <v>3</v>
      </c>
      <c r="B8" s="13" t="str">
        <f>INDEX('[1]Qualification Data'!$D$2:$D$7,MATCH($A8,'[1]Qualification Data'!$G$2:$G$7,0))</f>
        <v>Subashree</v>
      </c>
      <c r="C8" s="13" t="str">
        <f>INDEX('[1]Qualification Data'!$C$2:$C$7,MATCH($A8,'[1]Qualification Data'!$G$2:$G$7,0))</f>
        <v>Team 4</v>
      </c>
      <c r="D8" s="13" t="str">
        <f>INDEX('[1]Qualification Data'!$B$2:$B$7,MATCH($A8,'[1]Qualification Data'!$G$2:$G$7,0))</f>
        <v>Women's Singles</v>
      </c>
      <c r="E8" s="13">
        <f>INDEX('[1]Qualification Data'!$E$2:$E$7,MATCH($A8,'[1]Qualification Data'!$G$2:$G$7,0))</f>
        <v>1</v>
      </c>
      <c r="F8" s="13">
        <f>INDEX('[1]Qualification Data'!$F$2:$F$7,MATCH($A8,'[1]Qualification Data'!$G$2:$G$7,0))</f>
        <v>76</v>
      </c>
      <c r="G8" s="13" t="s">
        <v>132</v>
      </c>
    </row>
    <row r="9" spans="1:7" x14ac:dyDescent="0.15">
      <c r="A9" s="13">
        <v>4</v>
      </c>
      <c r="B9" s="13" t="str">
        <f>INDEX('[1]Qualification Data'!$D$2:$D$7,MATCH($A9,'[1]Qualification Data'!$G$2:$G$7,0))</f>
        <v>Mamta</v>
      </c>
      <c r="C9" s="13" t="str">
        <f>INDEX('[1]Qualification Data'!$C$2:$C$7,MATCH($A9,'[1]Qualification Data'!$G$2:$G$7,0))</f>
        <v>Team 3</v>
      </c>
      <c r="D9" s="13" t="str">
        <f>INDEX('[1]Qualification Data'!$B$2:$B$7,MATCH($A9,'[1]Qualification Data'!$G$2:$G$7,0))</f>
        <v>Women's Singles</v>
      </c>
      <c r="E9" s="13">
        <f>INDEX('[1]Qualification Data'!$E$2:$E$7,MATCH($A9,'[1]Qualification Data'!$G$2:$G$7,0))</f>
        <v>1</v>
      </c>
      <c r="F9" s="13">
        <f>INDEX('[1]Qualification Data'!$F$2:$F$7,MATCH($A9,'[1]Qualification Data'!$G$2:$G$7,0))</f>
        <v>47</v>
      </c>
      <c r="G9" s="13" t="s">
        <v>132</v>
      </c>
    </row>
    <row r="10" spans="1:7" x14ac:dyDescent="0.15">
      <c r="A10" s="13"/>
      <c r="B10" s="13"/>
      <c r="C10" s="13"/>
      <c r="D10" s="13"/>
      <c r="E10" s="13"/>
      <c r="F10" s="13"/>
      <c r="G10" s="13"/>
    </row>
    <row r="11" spans="1:7" x14ac:dyDescent="0.15">
      <c r="A11" s="36" t="s">
        <v>133</v>
      </c>
      <c r="B11" s="36"/>
      <c r="C11" s="36"/>
      <c r="D11" s="36"/>
      <c r="E11" s="36"/>
      <c r="F11" s="36"/>
      <c r="G11" s="36"/>
    </row>
    <row r="12" spans="1:7" x14ac:dyDescent="0.15">
      <c r="A12" s="19" t="s">
        <v>117</v>
      </c>
      <c r="B12" s="19" t="s">
        <v>129</v>
      </c>
      <c r="C12" s="19" t="s">
        <v>114</v>
      </c>
      <c r="D12" s="19" t="s">
        <v>130</v>
      </c>
      <c r="E12" s="19" t="s">
        <v>115</v>
      </c>
      <c r="F12" s="19" t="s">
        <v>116</v>
      </c>
      <c r="G12" s="19" t="s">
        <v>131</v>
      </c>
    </row>
    <row r="13" spans="1:7" x14ac:dyDescent="0.15">
      <c r="A13" s="13">
        <v>1</v>
      </c>
      <c r="B13" s="13" t="str">
        <f>INDEX('[1]Qualification Data'!$D$9:$D$14,MATCH($A13,'[1]Qualification Data'!$G$9:$G$14,0))</f>
        <v>Amrutha + Neha</v>
      </c>
      <c r="C13" s="13" t="str">
        <f>INDEX('[1]Qualification Data'!$C$9:$C$14,MATCH($A13,'[1]Qualification Data'!$G$9:$G$14,0))</f>
        <v>Team 1</v>
      </c>
      <c r="D13" s="13" t="str">
        <f>INDEX('[1]Qualification Data'!$B$9:$B$14,MATCH($A13,'[1]Qualification Data'!$G$9:$G$14,0))</f>
        <v>Women's Doubles</v>
      </c>
      <c r="E13" s="13">
        <f>INDEX('[1]Qualification Data'!$E$9:$E$14,MATCH($A13,'[1]Qualification Data'!$G$9:$G$14,0))</f>
        <v>0</v>
      </c>
      <c r="F13" s="13">
        <f>INDEX('[1]Qualification Data'!$F$9:$F$14,MATCH($A13,'[1]Qualification Data'!$G$9:$G$14,0))</f>
        <v>0</v>
      </c>
      <c r="G13" s="13" t="s">
        <v>132</v>
      </c>
    </row>
    <row r="14" spans="1:7" x14ac:dyDescent="0.15">
      <c r="A14" s="13">
        <v>2</v>
      </c>
      <c r="B14" s="13" t="str">
        <f>INDEX('[1]Qualification Data'!$D$9:$D$14,MATCH($A14,'[1]Qualification Data'!$G$9:$G$14,0))</f>
        <v>Vaishnavi M + Keerthana</v>
      </c>
      <c r="C14" s="13" t="str">
        <f>INDEX('[1]Qualification Data'!$C$9:$C$14,MATCH($A14,'[1]Qualification Data'!$G$9:$G$14,0))</f>
        <v>Team 2</v>
      </c>
      <c r="D14" s="13" t="str">
        <f>INDEX('[1]Qualification Data'!$B$9:$B$14,MATCH($A14,'[1]Qualification Data'!$G$9:$G$14,0))</f>
        <v>Women's Doubles</v>
      </c>
      <c r="E14" s="13">
        <f>INDEX('[1]Qualification Data'!$E$9:$E$14,MATCH($A14,'[1]Qualification Data'!$G$9:$G$14,0))</f>
        <v>0</v>
      </c>
      <c r="F14" s="13">
        <f>INDEX('[1]Qualification Data'!$F$9:$F$14,MATCH($A14,'[1]Qualification Data'!$G$9:$G$14,0))</f>
        <v>0</v>
      </c>
      <c r="G14" s="13" t="s">
        <v>132</v>
      </c>
    </row>
    <row r="15" spans="1:7" x14ac:dyDescent="0.15">
      <c r="A15" s="13">
        <v>3</v>
      </c>
      <c r="B15" s="13" t="str">
        <f>INDEX('[1]Qualification Data'!$D$9:$D$14,MATCH($A15,'[1]Qualification Data'!$G$9:$G$14,0))</f>
        <v>Mamta + Rithu</v>
      </c>
      <c r="C15" s="13" t="str">
        <f>INDEX('[1]Qualification Data'!$C$9:$C$14,MATCH($A15,'[1]Qualification Data'!$G$9:$G$14,0))</f>
        <v>Team 3</v>
      </c>
      <c r="D15" s="13" t="str">
        <f>INDEX('[1]Qualification Data'!$B$9:$B$14,MATCH($A15,'[1]Qualification Data'!$G$9:$G$14,0))</f>
        <v>Women's Doubles</v>
      </c>
      <c r="E15" s="13">
        <f>INDEX('[1]Qualification Data'!$E$9:$E$14,MATCH($A15,'[1]Qualification Data'!$G$9:$G$14,0))</f>
        <v>0</v>
      </c>
      <c r="F15" s="13">
        <f>INDEX('[1]Qualification Data'!$F$9:$F$14,MATCH($A15,'[1]Qualification Data'!$G$9:$G$14,0))</f>
        <v>0</v>
      </c>
      <c r="G15" s="13" t="s">
        <v>132</v>
      </c>
    </row>
    <row r="16" spans="1:7" x14ac:dyDescent="0.15">
      <c r="A16" s="13">
        <v>4</v>
      </c>
      <c r="B16" s="13" t="str">
        <f>INDEX('[1]Qualification Data'!$D$9:$D$14,MATCH($A16,'[1]Qualification Data'!$G$9:$G$14,0))</f>
        <v>Subashree + Sanjana</v>
      </c>
      <c r="C16" s="13" t="str">
        <f>INDEX('[1]Qualification Data'!$C$9:$C$14,MATCH($A16,'[1]Qualification Data'!$G$9:$G$14,0))</f>
        <v>Team 4</v>
      </c>
      <c r="D16" s="13" t="str">
        <f>INDEX('[1]Qualification Data'!$B$9:$B$14,MATCH($A16,'[1]Qualification Data'!$G$9:$G$14,0))</f>
        <v>Women's Doubles</v>
      </c>
      <c r="E16" s="13">
        <f>INDEX('[1]Qualification Data'!$E$9:$E$14,MATCH($A16,'[1]Qualification Data'!$G$9:$G$14,0))</f>
        <v>0</v>
      </c>
      <c r="F16" s="13">
        <f>INDEX('[1]Qualification Data'!$F$9:$F$14,MATCH($A16,'[1]Qualification Data'!$G$9:$G$14,0))</f>
        <v>0</v>
      </c>
      <c r="G16" s="13" t="s">
        <v>132</v>
      </c>
    </row>
    <row r="17" spans="1:7" x14ac:dyDescent="0.15">
      <c r="A17" s="13"/>
      <c r="B17" s="13"/>
      <c r="C17" s="13"/>
      <c r="D17" s="13"/>
      <c r="E17" s="13"/>
      <c r="F17" s="13"/>
      <c r="G17" s="13"/>
    </row>
    <row r="18" spans="1:7" x14ac:dyDescent="0.15">
      <c r="A18" s="36" t="s">
        <v>134</v>
      </c>
      <c r="B18" s="36"/>
      <c r="C18" s="36"/>
      <c r="D18" s="36"/>
      <c r="E18" s="36"/>
      <c r="F18" s="36"/>
      <c r="G18" s="36"/>
    </row>
    <row r="19" spans="1:7" x14ac:dyDescent="0.15">
      <c r="A19" s="19" t="s">
        <v>117</v>
      </c>
      <c r="B19" s="19" t="s">
        <v>129</v>
      </c>
      <c r="C19" s="19" t="s">
        <v>114</v>
      </c>
      <c r="D19" s="19" t="s">
        <v>130</v>
      </c>
      <c r="E19" s="19" t="s">
        <v>115</v>
      </c>
      <c r="F19" s="19" t="s">
        <v>116</v>
      </c>
      <c r="G19" s="19" t="s">
        <v>131</v>
      </c>
    </row>
    <row r="20" spans="1:7" x14ac:dyDescent="0.15">
      <c r="A20" s="13">
        <v>1</v>
      </c>
      <c r="B20" s="13" t="str">
        <f>INDEX('[1]Qualification Data'!$D$16:$D$21,MATCH($A20,'[1]Qualification Data'!$G$16:$G$21,0))</f>
        <v>Rithu + Darshan Patel</v>
      </c>
      <c r="C20" s="13" t="str">
        <f>INDEX('[1]Qualification Data'!$C$16:$C$21,MATCH($A20,'[1]Qualification Data'!$G$16:$G$21,0))</f>
        <v>Team 3</v>
      </c>
      <c r="D20" s="13" t="str">
        <f>INDEX('[1]Qualification Data'!$B$16:$B$21,MATCH($A20,'[1]Qualification Data'!$G$16:$G$21,0))</f>
        <v>Mixed Doubles</v>
      </c>
      <c r="E20" s="13">
        <f>INDEX('[1]Qualification Data'!$E$16:$E$21,MATCH($A20,'[1]Qualification Data'!$G$16:$G$21,0))</f>
        <v>3</v>
      </c>
      <c r="F20" s="13">
        <f>INDEX('[1]Qualification Data'!$F$16:$F$21,MATCH($A20,'[1]Qualification Data'!$G$16:$G$21,0))</f>
        <v>63</v>
      </c>
      <c r="G20" s="13" t="s">
        <v>132</v>
      </c>
    </row>
    <row r="21" spans="1:7" x14ac:dyDescent="0.15">
      <c r="A21" s="13">
        <v>2</v>
      </c>
      <c r="B21" s="13" t="str">
        <f>INDEX('[1]Qualification Data'!$D$16:$D$21,MATCH($A21,'[1]Qualification Data'!$G$16:$G$21,0))</f>
        <v>Keerthana + Abhiram</v>
      </c>
      <c r="C21" s="13" t="str">
        <f>INDEX('[1]Qualification Data'!$C$16:$C$21,MATCH($A21,'[1]Qualification Data'!$G$16:$G$21,0))</f>
        <v>Team 2</v>
      </c>
      <c r="D21" s="13" t="str">
        <f>INDEX('[1]Qualification Data'!$B$16:$B$21,MATCH($A21,'[1]Qualification Data'!$G$16:$G$21,0))</f>
        <v>Mixed Doubles</v>
      </c>
      <c r="E21" s="13">
        <f>INDEX('[1]Qualification Data'!$E$16:$E$21,MATCH($A21,'[1]Qualification Data'!$G$16:$G$21,0))</f>
        <v>2</v>
      </c>
      <c r="F21" s="13">
        <f>INDEX('[1]Qualification Data'!$F$16:$F$21,MATCH($A21,'[1]Qualification Data'!$G$16:$G$21,0))</f>
        <v>58</v>
      </c>
      <c r="G21" s="13" t="s">
        <v>132</v>
      </c>
    </row>
    <row r="22" spans="1:7" x14ac:dyDescent="0.15">
      <c r="A22" s="13">
        <v>3</v>
      </c>
      <c r="B22" s="13" t="str">
        <f>INDEX('[1]Qualification Data'!$D$16:$D$21,MATCH($A22,'[1]Qualification Data'!$G$16:$G$21,0))</f>
        <v>Yukti + Niranjan</v>
      </c>
      <c r="C22" s="13" t="str">
        <f>INDEX('[1]Qualification Data'!$C$16:$C$21,MATCH($A22,'[1]Qualification Data'!$G$16:$G$21,0))</f>
        <v>Team 5</v>
      </c>
      <c r="D22" s="13" t="str">
        <f>INDEX('[1]Qualification Data'!$B$16:$B$21,MATCH($A22,'[1]Qualification Data'!$G$16:$G$21,0))</f>
        <v>Mixed Doubles</v>
      </c>
      <c r="E22" s="13">
        <f>INDEX('[1]Qualification Data'!$E$16:$E$21,MATCH($A22,'[1]Qualification Data'!$G$16:$G$21,0))</f>
        <v>1</v>
      </c>
      <c r="F22" s="13">
        <f>INDEX('[1]Qualification Data'!$F$16:$F$21,MATCH($A22,'[1]Qualification Data'!$G$16:$G$21,0))</f>
        <v>32</v>
      </c>
      <c r="G22" s="13" t="s">
        <v>132</v>
      </c>
    </row>
    <row r="23" spans="1:7" x14ac:dyDescent="0.15">
      <c r="A23" s="13">
        <v>4</v>
      </c>
      <c r="B23" s="13" t="str">
        <f>INDEX('[1]Qualification Data'!$D$16:$D$21,MATCH($A23,'[1]Qualification Data'!$G$16:$G$21,0))</f>
        <v>Drishti + Sanath</v>
      </c>
      <c r="C23" s="13" t="str">
        <f>INDEX('[1]Qualification Data'!$C$16:$C$21,MATCH($A23,'[1]Qualification Data'!$G$16:$G$21,0))</f>
        <v>Team 6</v>
      </c>
      <c r="D23" s="13" t="str">
        <f>INDEX('[1]Qualification Data'!$B$16:$B$21,MATCH($A23,'[1]Qualification Data'!$G$16:$G$21,0))</f>
        <v>Mixed Doubles</v>
      </c>
      <c r="E23" s="13">
        <f>INDEX('[1]Qualification Data'!$E$16:$E$21,MATCH($A23,'[1]Qualification Data'!$G$16:$G$21,0))</f>
        <v>0</v>
      </c>
      <c r="F23" s="13">
        <f>INDEX('[1]Qualification Data'!$F$16:$F$21,MATCH($A23,'[1]Qualification Data'!$G$16:$G$21,0))</f>
        <v>30</v>
      </c>
      <c r="G23" s="13" t="s">
        <v>132</v>
      </c>
    </row>
    <row r="24" spans="1:7" x14ac:dyDescent="0.15">
      <c r="A24" s="13"/>
      <c r="B24" s="13"/>
      <c r="C24" s="13"/>
      <c r="D24" s="13"/>
      <c r="E24" s="13"/>
      <c r="F24" s="13"/>
      <c r="G24" s="13"/>
    </row>
    <row r="25" spans="1:7" x14ac:dyDescent="0.15">
      <c r="A25" s="36" t="s">
        <v>135</v>
      </c>
      <c r="B25" s="36"/>
      <c r="C25" s="36"/>
      <c r="D25" s="36"/>
      <c r="E25" s="36"/>
      <c r="F25" s="36"/>
      <c r="G25" s="36"/>
    </row>
    <row r="26" spans="1:7" x14ac:dyDescent="0.15">
      <c r="A26" s="19" t="s">
        <v>136</v>
      </c>
      <c r="B26" s="19" t="s">
        <v>137</v>
      </c>
      <c r="C26" s="19" t="s">
        <v>138</v>
      </c>
      <c r="D26" s="19" t="s">
        <v>114</v>
      </c>
      <c r="E26" s="19" t="s">
        <v>139</v>
      </c>
      <c r="F26" s="19" t="s">
        <v>140</v>
      </c>
      <c r="G26" s="19" t="s">
        <v>114</v>
      </c>
    </row>
    <row r="27" spans="1:7" x14ac:dyDescent="0.15">
      <c r="A27" s="13" t="s">
        <v>141</v>
      </c>
      <c r="B27" s="13">
        <v>1</v>
      </c>
      <c r="C27" s="13" t="str" cm="1">
        <f t="array" ref="C27">_xlfn.XLOOKUP("Men's Singles 1"&amp;B27,'[1]Qualification Data'!$B$23:$B$34&amp;'[1]Qualification Data'!$G$23:$G$34,'[1]Qualification Data'!$D$23:$D$34)</f>
        <v>Sujal</v>
      </c>
      <c r="D27" s="13" t="str" cm="1">
        <f t="array" ref="D27">_xlfn.XLOOKUP("Men's Singles 1"&amp;B27,'[1]Qualification Data'!$B$23:$B$34&amp;'[1]Qualification Data'!$G$23:$G$34,'[1]Qualification Data'!$C$23:$C$34)</f>
        <v>Team 3</v>
      </c>
      <c r="E27" s="13">
        <v>4</v>
      </c>
      <c r="F27" s="13" t="str" cm="1">
        <f t="array" ref="F27">_xlfn.XLOOKUP("Men's Singles 2"&amp;E27,'[1]Qualification Data'!$B$23:$B$34&amp;'[1]Qualification Data'!$G$23:$G$34,'[1]Qualification Data'!$D$23:$D$34)</f>
        <v>Aman Doshi</v>
      </c>
      <c r="G27" s="20" t="str" cm="1">
        <f t="array" ref="G27">_xlfn.XLOOKUP("Men's Singles 2"&amp;E27,'[1]Qualification Data'!$B$23:$B$34&amp;'[1]Qualification Data'!$G$23:$G$34,'[1]Qualification Data'!$C$23:$C$34)</f>
        <v>Team 1</v>
      </c>
    </row>
    <row r="28" spans="1:7" x14ac:dyDescent="0.15">
      <c r="A28" s="13" t="s">
        <v>142</v>
      </c>
      <c r="B28" s="13">
        <v>2</v>
      </c>
      <c r="C28" s="13" t="str" cm="1">
        <f t="array" ref="C28">_xlfn.XLOOKUP("Men's Singles 1"&amp;B28,'[1]Qualification Data'!$B$23:$B$34&amp;'[1]Qualification Data'!$G$23:$G$34,'[1]Qualification Data'!$D$23:$D$34)</f>
        <v>Pavan D</v>
      </c>
      <c r="D28" s="13" t="str" cm="1">
        <f t="array" ref="D28">_xlfn.XLOOKUP("Men's Singles 1"&amp;B28,'[1]Qualification Data'!$B$23:$B$34&amp;'[1]Qualification Data'!$G$23:$G$34,'[1]Qualification Data'!$C$23:$C$34)</f>
        <v>Team 5</v>
      </c>
      <c r="E28" s="13">
        <v>3</v>
      </c>
      <c r="F28" s="13" t="str" cm="1">
        <f t="array" ref="F28">_xlfn.XLOOKUP("Men's Singles 2"&amp;E28,'[1]Qualification Data'!$B$23:$B$34&amp;'[1]Qualification Data'!$G$23:$G$34,'[1]Qualification Data'!$D$23:$D$34)</f>
        <v>Navtej</v>
      </c>
      <c r="G28" s="20" t="str" cm="1">
        <f t="array" ref="G28">_xlfn.XLOOKUP("Men's Singles 2"&amp;E28,'[1]Qualification Data'!$B$23:$B$34&amp;'[1]Qualification Data'!$G$23:$G$34,'[1]Qualification Data'!$C$23:$C$34)</f>
        <v>Team 6</v>
      </c>
    </row>
    <row r="29" spans="1:7" x14ac:dyDescent="0.15">
      <c r="A29" s="13" t="s">
        <v>143</v>
      </c>
      <c r="B29" s="13">
        <v>3</v>
      </c>
      <c r="C29" s="13" t="str" cm="1">
        <f t="array" ref="C29">_xlfn.XLOOKUP("Men's Singles 1"&amp;B29,'[1]Qualification Data'!$B$23:$B$34&amp;'[1]Qualification Data'!$G$23:$G$34,'[1]Qualification Data'!$D$23:$D$34)</f>
        <v>Anshul</v>
      </c>
      <c r="D29" s="13" t="str" cm="1">
        <f t="array" ref="D29">_xlfn.XLOOKUP("Men's Singles 1"&amp;B29,'[1]Qualification Data'!$B$23:$B$34&amp;'[1]Qualification Data'!$G$23:$G$34,'[1]Qualification Data'!$C$23:$C$34)</f>
        <v>Team 6</v>
      </c>
      <c r="E29" s="13">
        <v>2</v>
      </c>
      <c r="F29" s="13" t="str" cm="1">
        <f t="array" ref="F29">_xlfn.XLOOKUP("Men's Singles 2"&amp;E29,'[1]Qualification Data'!$B$23:$B$34&amp;'[1]Qualification Data'!$G$23:$G$34,'[1]Qualification Data'!$D$23:$D$34)</f>
        <v>Vidwan</v>
      </c>
      <c r="G29" s="20" t="str" cm="1">
        <f t="array" ref="G29">_xlfn.XLOOKUP("Men's Singles 2"&amp;E29,'[1]Qualification Data'!$B$23:$B$34&amp;'[1]Qualification Data'!$G$23:$G$34,'[1]Qualification Data'!$C$23:$C$34)</f>
        <v>Team 5</v>
      </c>
    </row>
    <row r="30" spans="1:7" x14ac:dyDescent="0.15">
      <c r="A30" s="13" t="s">
        <v>144</v>
      </c>
      <c r="B30" s="13">
        <v>4</v>
      </c>
      <c r="C30" s="13" t="str" cm="1">
        <f t="array" ref="C30">_xlfn.XLOOKUP("Men's Singles 1"&amp;B30,'[1]Qualification Data'!$B$23:$B$34&amp;'[1]Qualification Data'!$G$23:$G$34,'[1]Qualification Data'!$D$23:$D$34)</f>
        <v>Saurabh</v>
      </c>
      <c r="D30" s="13" t="str" cm="1">
        <f t="array" ref="D30">_xlfn.XLOOKUP("Men's Singles 1"&amp;B30,'[1]Qualification Data'!$B$23:$B$34&amp;'[1]Qualification Data'!$G$23:$G$34,'[1]Qualification Data'!$C$23:$C$34)</f>
        <v>Team 1</v>
      </c>
      <c r="E30" s="13">
        <v>1</v>
      </c>
      <c r="F30" s="13" t="str" cm="1">
        <f t="array" ref="F30">_xlfn.XLOOKUP("Men's Singles 2"&amp;E30,'[1]Qualification Data'!$B$23:$B$34&amp;'[1]Qualification Data'!$G$23:$G$34,'[1]Qualification Data'!$D$23:$D$34)</f>
        <v>Jay B</v>
      </c>
      <c r="G30" s="20" t="str" cm="1">
        <f t="array" ref="G30">_xlfn.XLOOKUP("Men's Singles 2"&amp;E30,'[1]Qualification Data'!$B$23:$B$34&amp;'[1]Qualification Data'!$G$23:$G$34,'[1]Qualification Data'!$C$23:$C$34)</f>
        <v>Team 4</v>
      </c>
    </row>
    <row r="31" spans="1:7" x14ac:dyDescent="0.15">
      <c r="A31" s="13"/>
      <c r="B31" s="13"/>
      <c r="C31" s="13"/>
      <c r="D31" s="13"/>
      <c r="E31" s="13"/>
      <c r="F31" s="13"/>
      <c r="G31" s="20"/>
    </row>
    <row r="32" spans="1:7" x14ac:dyDescent="0.15">
      <c r="A32" s="13"/>
      <c r="B32" s="13"/>
      <c r="C32" s="13"/>
      <c r="D32" s="13"/>
      <c r="E32" s="13"/>
      <c r="F32" s="13"/>
      <c r="G32" s="20"/>
    </row>
    <row r="33" spans="1:7" x14ac:dyDescent="0.15">
      <c r="A33" s="13"/>
      <c r="B33" s="13"/>
      <c r="C33" s="13"/>
      <c r="D33" s="13"/>
      <c r="E33" s="13"/>
      <c r="F33" s="13"/>
      <c r="G33" s="20"/>
    </row>
    <row r="34" spans="1:7" x14ac:dyDescent="0.15">
      <c r="A34" s="13"/>
      <c r="B34" s="13"/>
      <c r="C34" s="13"/>
      <c r="D34" s="13"/>
      <c r="E34" s="13"/>
      <c r="F34" s="13"/>
      <c r="G34" s="20"/>
    </row>
    <row r="35" spans="1:7" x14ac:dyDescent="0.15">
      <c r="A35" s="13"/>
      <c r="B35" s="13"/>
      <c r="C35" s="13"/>
      <c r="D35" s="13"/>
      <c r="E35" s="13"/>
      <c r="F35" s="13"/>
      <c r="G35" s="13"/>
    </row>
    <row r="36" spans="1:7" x14ac:dyDescent="0.15">
      <c r="A36" s="13"/>
      <c r="B36" s="13"/>
      <c r="C36" s="13"/>
      <c r="D36" s="13"/>
      <c r="E36" s="13"/>
      <c r="F36" s="13"/>
      <c r="G36" s="13"/>
    </row>
    <row r="37" spans="1:7" x14ac:dyDescent="0.15">
      <c r="A37" s="13"/>
      <c r="B37" s="13"/>
      <c r="C37" s="13"/>
      <c r="D37" s="13"/>
      <c r="E37" s="13"/>
      <c r="F37" s="13"/>
      <c r="G37" s="13"/>
    </row>
    <row r="38" spans="1:7" x14ac:dyDescent="0.15">
      <c r="A38" s="36" t="s">
        <v>145</v>
      </c>
      <c r="B38" s="36"/>
      <c r="C38" s="36"/>
      <c r="D38" s="36"/>
      <c r="E38" s="36"/>
      <c r="F38" s="36"/>
      <c r="G38" s="36"/>
    </row>
    <row r="39" spans="1:7" x14ac:dyDescent="0.15">
      <c r="A39" s="19" t="s">
        <v>136</v>
      </c>
      <c r="B39" s="19" t="s">
        <v>146</v>
      </c>
      <c r="C39" s="19" t="s">
        <v>147</v>
      </c>
      <c r="D39" s="19" t="s">
        <v>114</v>
      </c>
      <c r="E39" s="19" t="s">
        <v>148</v>
      </c>
      <c r="F39" s="19" t="s">
        <v>149</v>
      </c>
      <c r="G39" s="19" t="s">
        <v>114</v>
      </c>
    </row>
    <row r="40" spans="1:7" x14ac:dyDescent="0.15">
      <c r="A40" s="13" t="s">
        <v>141</v>
      </c>
      <c r="B40" s="13">
        <v>1</v>
      </c>
      <c r="C40" s="13" t="str" cm="1">
        <f t="array" ref="C40">_xlfn.XLOOKUP("Men's Doubles 1"&amp;B40,'[1]Qualification Data'!$B$36:$B$47&amp;'[1]Qualification Data'!$G$36:$G$47,'[1]Qualification Data'!$D$36:$D$47)</f>
        <v>Kunal D + Anirudha H</v>
      </c>
      <c r="D40" s="13" t="str" cm="1">
        <f t="array" ref="D40">_xlfn.XLOOKUP("Men's Doubles 1"&amp;B40,'[1]Qualification Data'!$B$36:$B$47&amp;'[1]Qualification Data'!$G$36:$G$47,'[1]Qualification Data'!$C$36:$C$47)</f>
        <v>Team 3</v>
      </c>
      <c r="E40" s="13">
        <v>4</v>
      </c>
      <c r="F40" s="13" t="str" cm="1">
        <f t="array" ref="F40">_xlfn.XLOOKUP("Men's Doubles 2"&amp;E40,'[1]Qualification Data'!$B$36:$B$47&amp;'[1]Qualification Data'!$G$36:$G$47,'[1]Qualification Data'!$D$36:$D$47)</f>
        <v>Yuvraj + Karthik KB</v>
      </c>
      <c r="G40" s="20" t="str" cm="1">
        <f t="array" ref="G40">_xlfn.XLOOKUP("Men's Doubles 2"&amp;E40,'[1]Qualification Data'!$B$36:$B$47&amp;'[1]Qualification Data'!$G$36:$G$47,'[1]Qualification Data'!$C$36:$C$47)</f>
        <v>Team 2</v>
      </c>
    </row>
    <row r="41" spans="1:7" x14ac:dyDescent="0.15">
      <c r="A41" s="13" t="s">
        <v>142</v>
      </c>
      <c r="B41" s="13">
        <v>2</v>
      </c>
      <c r="C41" s="13" t="str" cm="1">
        <f t="array" ref="C41">_xlfn.XLOOKUP("Men's Doubles 1"&amp;B41,'[1]Qualification Data'!$B$36:$B$47&amp;'[1]Qualification Data'!$G$36:$G$47,'[1]Qualification Data'!$D$36:$D$47)</f>
        <v>Leela Sagar + Ali Akbar</v>
      </c>
      <c r="D41" s="13" t="str" cm="1">
        <f t="array" ref="D41">_xlfn.XLOOKUP("Men's Doubles 1"&amp;B41,'[1]Qualification Data'!$B$36:$B$47&amp;'[1]Qualification Data'!$G$36:$G$47,'[1]Qualification Data'!$C$36:$C$47)</f>
        <v>Team 4</v>
      </c>
      <c r="E41" s="13">
        <v>3</v>
      </c>
      <c r="F41" s="13" t="str" cm="1">
        <f t="array" ref="F41">_xlfn.XLOOKUP("Men's Doubles 2"&amp;E41,'[1]Qualification Data'!$B$36:$B$47&amp;'[1]Qualification Data'!$G$36:$G$47,'[1]Qualification Data'!$D$36:$D$47)</f>
        <v>Khush B + Hemanth</v>
      </c>
      <c r="G41" s="20" t="str" cm="1">
        <f t="array" ref="G41">_xlfn.XLOOKUP("Men's Doubles 2"&amp;E41,'[1]Qualification Data'!$B$36:$B$47&amp;'[1]Qualification Data'!$G$36:$G$47,'[1]Qualification Data'!$C$36:$C$47)</f>
        <v>Team 4</v>
      </c>
    </row>
    <row r="42" spans="1:7" x14ac:dyDescent="0.15">
      <c r="A42" s="13" t="s">
        <v>143</v>
      </c>
      <c r="B42" s="13">
        <v>3</v>
      </c>
      <c r="C42" s="13" t="str" cm="1">
        <f t="array" ref="C42">_xlfn.XLOOKUP("Men's Doubles 1"&amp;B42,'[1]Qualification Data'!$B$36:$B$47&amp;'[1]Qualification Data'!$G$36:$G$47,'[1]Qualification Data'!$D$36:$D$47)</f>
        <v>Nikhil M + Jinendar</v>
      </c>
      <c r="D42" s="13" t="str" cm="1">
        <f t="array" ref="D42">_xlfn.XLOOKUP("Men's Doubles 1"&amp;B42,'[1]Qualification Data'!$B$36:$B$47&amp;'[1]Qualification Data'!$G$36:$G$47,'[1]Qualification Data'!$C$36:$C$47)</f>
        <v>Team 1</v>
      </c>
      <c r="E42" s="13">
        <v>2</v>
      </c>
      <c r="F42" s="13" t="str" cm="1">
        <f t="array" ref="F42">_xlfn.XLOOKUP("Men's Doubles 2"&amp;E42,'[1]Qualification Data'!$B$36:$B$47&amp;'[1]Qualification Data'!$G$36:$G$47,'[1]Qualification Data'!$D$36:$D$47)</f>
        <v>Rohan + Bhuvanesh</v>
      </c>
      <c r="G42" s="20" t="str" cm="1">
        <f t="array" ref="G42">_xlfn.XLOOKUP("Men's Doubles 2"&amp;E42,'[1]Qualification Data'!$B$36:$B$47&amp;'[1]Qualification Data'!$G$36:$G$47,'[1]Qualification Data'!$C$36:$C$47)</f>
        <v>Team 6</v>
      </c>
    </row>
    <row r="43" spans="1:7" x14ac:dyDescent="0.15">
      <c r="A43" s="13" t="s">
        <v>144</v>
      </c>
      <c r="B43" s="13">
        <v>4</v>
      </c>
      <c r="C43" s="13" t="str" cm="1">
        <f t="array" ref="C43">_xlfn.XLOOKUP("Men's Doubles 1"&amp;B43,'[1]Qualification Data'!$B$36:$B$47&amp;'[1]Qualification Data'!$G$36:$G$47,'[1]Qualification Data'!$D$36:$D$47)</f>
        <v>Kushal + Shubham</v>
      </c>
      <c r="D43" s="13" t="str" cm="1">
        <f t="array" ref="D43">_xlfn.XLOOKUP("Men's Doubles 1"&amp;B43,'[1]Qualification Data'!$B$36:$B$47&amp;'[1]Qualification Data'!$G$36:$G$47,'[1]Qualification Data'!$C$36:$C$47)</f>
        <v>Team 2</v>
      </c>
      <c r="E43" s="13">
        <v>1</v>
      </c>
      <c r="F43" s="13" t="str" cm="1">
        <f t="array" ref="F43">_xlfn.XLOOKUP("Men's Doubles 2"&amp;E43,'[1]Qualification Data'!$B$36:$B$47&amp;'[1]Qualification Data'!$G$36:$G$47,'[1]Qualification Data'!$D$36:$D$47)</f>
        <v>Sarvesh H + Deviprasad</v>
      </c>
      <c r="G43" s="20" t="str" cm="1">
        <f t="array" ref="G43">_xlfn.XLOOKUP("Men's Doubles 2"&amp;E43,'[1]Qualification Data'!$B$36:$B$47&amp;'[1]Qualification Data'!$G$36:$G$47,'[1]Qualification Data'!$C$36:$C$47)</f>
        <v>Team 3</v>
      </c>
    </row>
    <row r="44" spans="1:7" x14ac:dyDescent="0.15">
      <c r="A44" s="13"/>
      <c r="B44" s="13"/>
      <c r="C44" s="13"/>
      <c r="D44" s="13"/>
      <c r="E44" s="13"/>
      <c r="F44" s="13"/>
      <c r="G44" s="20"/>
    </row>
    <row r="45" spans="1:7" x14ac:dyDescent="0.15">
      <c r="A45" s="13"/>
      <c r="B45" s="13"/>
      <c r="C45" s="13"/>
      <c r="D45" s="13"/>
      <c r="E45" s="13"/>
      <c r="F45" s="13"/>
      <c r="G45" s="20"/>
    </row>
    <row r="46" spans="1:7" x14ac:dyDescent="0.15">
      <c r="A46" s="13"/>
      <c r="B46" s="13"/>
      <c r="C46" s="13"/>
      <c r="D46" s="13"/>
      <c r="E46" s="13"/>
      <c r="F46" s="13"/>
      <c r="G46" s="20"/>
    </row>
    <row r="47" spans="1:7" x14ac:dyDescent="0.15">
      <c r="A47" s="13"/>
      <c r="B47" s="13"/>
      <c r="C47" s="13"/>
      <c r="D47" s="13"/>
      <c r="E47" s="13"/>
      <c r="F47" s="13"/>
      <c r="G47" s="20"/>
    </row>
  </sheetData>
  <mergeCells count="7">
    <mergeCell ref="A38:G38"/>
    <mergeCell ref="A1:G1"/>
    <mergeCell ref="A2:G2"/>
    <mergeCell ref="A4:G4"/>
    <mergeCell ref="A11:G11"/>
    <mergeCell ref="A18:G18"/>
    <mergeCell ref="A25:G25"/>
  </mergeCells>
  <dataValidations count="1">
    <dataValidation type="list" allowBlank="1" showInputMessage="1" showErrorMessage="1" sqref="G40:G47 G27:G34" xr:uid="{AEA86176-10DA-4D48-9DD5-470E47933797}">
      <formula1>"Selected,Not Selected,Pending"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7A03B-F271-4680-AF69-E462879C0379}">
  <dimension ref="A1:T28"/>
  <sheetViews>
    <sheetView topLeftCell="B5" workbookViewId="0">
      <selection activeCell="J3" sqref="J3"/>
    </sheetView>
  </sheetViews>
  <sheetFormatPr baseColWidth="10" defaultColWidth="8.6640625" defaultRowHeight="12" x14ac:dyDescent="0.15"/>
  <cols>
    <col min="1" max="1" width="19.1640625" style="4" customWidth="1"/>
    <col min="2" max="2" width="15.5" style="4" customWidth="1"/>
    <col min="3" max="3" width="20" style="4" customWidth="1"/>
    <col min="4" max="4" width="30" style="4" customWidth="1"/>
    <col min="5" max="5" width="12.5" style="4" customWidth="1"/>
    <col min="6" max="8" width="8" style="4" customWidth="1"/>
    <col min="9" max="9" width="10.5" style="4" customWidth="1"/>
    <col min="10" max="10" width="20" style="4" customWidth="1"/>
    <col min="11" max="11" width="30" style="4" customWidth="1"/>
    <col min="12" max="12" width="12.5" style="4" customWidth="1"/>
    <col min="13" max="15" width="8" style="4" customWidth="1"/>
    <col min="16" max="16" width="10.5" style="4" customWidth="1"/>
    <col min="17" max="17" width="30" style="4" customWidth="1"/>
    <col min="18" max="18" width="13.5" style="4" customWidth="1"/>
    <col min="19" max="19" width="16.6640625" style="4" customWidth="1"/>
    <col min="20" max="20" width="12.5" style="4" customWidth="1"/>
    <col min="21" max="16384" width="8.6640625" style="4"/>
  </cols>
  <sheetData>
    <row r="1" spans="1:20" ht="30" customHeight="1" x14ac:dyDescent="0.15">
      <c r="A1" s="39" t="s">
        <v>150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</row>
    <row r="2" spans="1:20" ht="44.25" customHeight="1" x14ac:dyDescent="0.15">
      <c r="A2" s="40" t="s">
        <v>151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</row>
    <row r="4" spans="1:20" ht="34" customHeight="1" x14ac:dyDescent="0.15">
      <c r="A4" s="21" t="s">
        <v>5</v>
      </c>
      <c r="B4" s="21" t="s">
        <v>152</v>
      </c>
      <c r="C4" s="21" t="s">
        <v>153</v>
      </c>
      <c r="D4" s="21" t="s">
        <v>154</v>
      </c>
      <c r="E4" s="21" t="s">
        <v>2</v>
      </c>
      <c r="F4" s="21" t="s">
        <v>155</v>
      </c>
      <c r="G4" s="21" t="s">
        <v>156</v>
      </c>
      <c r="H4" s="21" t="s">
        <v>157</v>
      </c>
      <c r="I4" s="21" t="s">
        <v>158</v>
      </c>
      <c r="J4" s="21" t="s">
        <v>159</v>
      </c>
      <c r="K4" s="21" t="s">
        <v>160</v>
      </c>
      <c r="L4" s="21" t="s">
        <v>3</v>
      </c>
      <c r="M4" s="21" t="s">
        <v>155</v>
      </c>
      <c r="N4" s="21" t="s">
        <v>156</v>
      </c>
      <c r="O4" s="21" t="s">
        <v>157</v>
      </c>
      <c r="P4" s="21" t="s">
        <v>158</v>
      </c>
      <c r="Q4" s="21" t="s">
        <v>8</v>
      </c>
      <c r="R4" s="21" t="s">
        <v>10</v>
      </c>
      <c r="S4" s="21" t="s">
        <v>161</v>
      </c>
      <c r="T4" s="21" t="s">
        <v>162</v>
      </c>
    </row>
    <row r="5" spans="1:20" x14ac:dyDescent="0.15">
      <c r="A5" s="22" t="s">
        <v>20</v>
      </c>
      <c r="B5" s="22" t="s">
        <v>163</v>
      </c>
      <c r="C5" s="22">
        <v>1</v>
      </c>
      <c r="D5" s="22" t="str">
        <f>Qualifiers!B6</f>
        <v>Neha P Jain</v>
      </c>
      <c r="E5" s="22" t="str">
        <f>Qualifiers!C6</f>
        <v>Team 6</v>
      </c>
      <c r="F5" s="23"/>
      <c r="G5" s="23"/>
      <c r="H5" s="23"/>
      <c r="I5" s="23" t="str">
        <f t="shared" ref="I5:I20" si="0">IF(OR(F5="",M5=""),"",--(F5&gt;M5)+IF(OR(G5="",N5=""),0,--(G5&gt;N5))+IF(OR(H5="",O5=""),0,--(H5&gt;O5)))</f>
        <v/>
      </c>
      <c r="J5" s="24">
        <v>4</v>
      </c>
      <c r="K5" s="24" t="str">
        <f>Qualifiers!B9</f>
        <v>Mamta</v>
      </c>
      <c r="L5" s="24" t="str">
        <f>Qualifiers!C9</f>
        <v>Team 3</v>
      </c>
      <c r="M5" s="24"/>
      <c r="N5" s="24"/>
      <c r="O5" s="24"/>
      <c r="P5" s="24" t="str">
        <f t="shared" ref="P5:P20" si="1">IF(OR(F5="",M5=""),"",--(M5&gt;F5)+IF(OR(G5="",N5=""),0,--(N5&gt;G5))+IF(OR(H5="",O5=""),0,--(O5&gt;H5)))</f>
        <v/>
      </c>
      <c r="Q5" s="22" t="str">
        <f t="shared" ref="Q5:Q20" si="2">IF(OR(I5="",P5=""),"Pending",IF(I5=P5,"Tie - review",IF(I5&gt;P5,D5,K5)))</f>
        <v>Pending</v>
      </c>
      <c r="R5" s="22" t="str">
        <f t="shared" ref="R5:R20" si="3">IF(OR(I5="",P5=""),"Pending",IF(I5=P5,"Tie - review",IF(I5&gt;P5,E5,L5)))</f>
        <v>Pending</v>
      </c>
      <c r="S5" s="24"/>
      <c r="T5" s="24"/>
    </row>
    <row r="6" spans="1:20" x14ac:dyDescent="0.15">
      <c r="A6" s="22" t="s">
        <v>20</v>
      </c>
      <c r="B6" s="22" t="s">
        <v>164</v>
      </c>
      <c r="C6" s="22">
        <v>2</v>
      </c>
      <c r="D6" s="22" t="str">
        <f>Qualifiers!B7</f>
        <v>Vaishnavi M</v>
      </c>
      <c r="E6" s="22" t="str">
        <f>Qualifiers!C7</f>
        <v>Team 2</v>
      </c>
      <c r="F6" s="23"/>
      <c r="G6" s="23"/>
      <c r="H6" s="23"/>
      <c r="I6" s="23" t="str">
        <f t="shared" si="0"/>
        <v/>
      </c>
      <c r="J6" s="24">
        <v>3</v>
      </c>
      <c r="K6" s="24" t="str">
        <f>Qualifiers!B8</f>
        <v>Subashree</v>
      </c>
      <c r="L6" s="24" t="str">
        <f>Qualifiers!C8</f>
        <v>Team 4</v>
      </c>
      <c r="M6" s="24"/>
      <c r="N6" s="24"/>
      <c r="O6" s="24"/>
      <c r="P6" s="24" t="str">
        <f t="shared" si="1"/>
        <v/>
      </c>
      <c r="Q6" s="22" t="str">
        <f t="shared" si="2"/>
        <v>Pending</v>
      </c>
      <c r="R6" s="22" t="str">
        <f t="shared" si="3"/>
        <v>Pending</v>
      </c>
      <c r="S6" s="24"/>
      <c r="T6" s="24"/>
    </row>
    <row r="7" spans="1:20" x14ac:dyDescent="0.15">
      <c r="A7" s="25" t="s">
        <v>20</v>
      </c>
      <c r="B7" s="25" t="s">
        <v>165</v>
      </c>
      <c r="C7" s="25" t="s">
        <v>166</v>
      </c>
      <c r="D7" s="25" t="str">
        <f>IF(OR(Q5="Pending",LEFT(Q5,3)="Tie"),"TBD",Q5)</f>
        <v>TBD</v>
      </c>
      <c r="E7" s="25" t="str">
        <f>IF(OR(R5="Pending",LEFT(R5,3)="Tie"),"TBD",R5)</f>
        <v>TBD</v>
      </c>
      <c r="F7" s="26"/>
      <c r="G7" s="26"/>
      <c r="H7" s="26"/>
      <c r="I7" s="26" t="str">
        <f t="shared" si="0"/>
        <v/>
      </c>
      <c r="J7" s="27" t="s">
        <v>167</v>
      </c>
      <c r="K7" s="27" t="str">
        <f>IF(OR(Q6="Pending",LEFT(Q6,3)="Tie"),"TBD",Q6)</f>
        <v>TBD</v>
      </c>
      <c r="L7" s="27" t="str">
        <f>IF(OR(R6="Pending",LEFT(R6,3)="Tie"),"TBD",R6)</f>
        <v>TBD</v>
      </c>
      <c r="M7" s="27"/>
      <c r="N7" s="27"/>
      <c r="O7" s="27"/>
      <c r="P7" s="27" t="str">
        <f t="shared" si="1"/>
        <v/>
      </c>
      <c r="Q7" s="25" t="str">
        <f t="shared" si="2"/>
        <v>Pending</v>
      </c>
      <c r="R7" s="25" t="str">
        <f t="shared" si="3"/>
        <v>Pending</v>
      </c>
      <c r="S7" s="27"/>
      <c r="T7" s="27"/>
    </row>
    <row r="8" spans="1:20" x14ac:dyDescent="0.15">
      <c r="A8" s="22" t="s">
        <v>40</v>
      </c>
      <c r="B8" s="22" t="s">
        <v>163</v>
      </c>
      <c r="C8" s="22">
        <v>1</v>
      </c>
      <c r="D8" s="22" t="str">
        <f>Qualifiers!B13</f>
        <v>Amrutha + Neha</v>
      </c>
      <c r="E8" s="22" t="str">
        <f>Qualifiers!C13</f>
        <v>Team 1</v>
      </c>
      <c r="F8" s="23"/>
      <c r="G8" s="23"/>
      <c r="H8" s="23"/>
      <c r="I8" s="23" t="str">
        <f t="shared" si="0"/>
        <v/>
      </c>
      <c r="J8" s="24">
        <v>4</v>
      </c>
      <c r="K8" s="24" t="str">
        <f>Qualifiers!B16</f>
        <v>Subashree + Sanjana</v>
      </c>
      <c r="L8" s="24" t="str">
        <f>Qualifiers!C16</f>
        <v>Team 4</v>
      </c>
      <c r="M8" s="24"/>
      <c r="N8" s="24"/>
      <c r="O8" s="24"/>
      <c r="P8" s="24" t="str">
        <f t="shared" si="1"/>
        <v/>
      </c>
      <c r="Q8" s="22" t="str">
        <f t="shared" si="2"/>
        <v>Pending</v>
      </c>
      <c r="R8" s="22" t="str">
        <f t="shared" si="3"/>
        <v>Pending</v>
      </c>
      <c r="S8" s="24"/>
      <c r="T8" s="24"/>
    </row>
    <row r="9" spans="1:20" x14ac:dyDescent="0.15">
      <c r="A9" s="22" t="s">
        <v>40</v>
      </c>
      <c r="B9" s="22" t="s">
        <v>164</v>
      </c>
      <c r="C9" s="22">
        <v>2</v>
      </c>
      <c r="D9" s="22" t="str">
        <f>Qualifiers!B14</f>
        <v>Vaishnavi M + Keerthana</v>
      </c>
      <c r="E9" s="22" t="str">
        <f>Qualifiers!C14</f>
        <v>Team 2</v>
      </c>
      <c r="F9" s="23"/>
      <c r="G9" s="23"/>
      <c r="H9" s="23"/>
      <c r="I9" s="23" t="str">
        <f t="shared" si="0"/>
        <v/>
      </c>
      <c r="J9" s="24">
        <v>3</v>
      </c>
      <c r="K9" s="24" t="str">
        <f>Qualifiers!B15</f>
        <v>Mamta + Rithu</v>
      </c>
      <c r="L9" s="24" t="str">
        <f>Qualifiers!C15</f>
        <v>Team 3</v>
      </c>
      <c r="M9" s="24"/>
      <c r="N9" s="24"/>
      <c r="O9" s="24"/>
      <c r="P9" s="24" t="str">
        <f t="shared" si="1"/>
        <v/>
      </c>
      <c r="Q9" s="22" t="str">
        <f t="shared" si="2"/>
        <v>Pending</v>
      </c>
      <c r="R9" s="22" t="str">
        <f t="shared" si="3"/>
        <v>Pending</v>
      </c>
      <c r="S9" s="24"/>
      <c r="T9" s="24"/>
    </row>
    <row r="10" spans="1:20" x14ac:dyDescent="0.15">
      <c r="A10" s="25" t="s">
        <v>40</v>
      </c>
      <c r="B10" s="25" t="s">
        <v>165</v>
      </c>
      <c r="C10" s="25" t="s">
        <v>166</v>
      </c>
      <c r="D10" s="25" t="str">
        <f>IF(OR(Q8="Pending",LEFT(Q8,3)="Tie"),"TBD",Q8)</f>
        <v>TBD</v>
      </c>
      <c r="E10" s="25" t="str">
        <f>IF(OR(R8="Pending",LEFT(R8,3)="Tie"),"TBD",R8)</f>
        <v>TBD</v>
      </c>
      <c r="F10" s="26"/>
      <c r="G10" s="26"/>
      <c r="H10" s="26"/>
      <c r="I10" s="26" t="str">
        <f t="shared" si="0"/>
        <v/>
      </c>
      <c r="J10" s="27" t="s">
        <v>167</v>
      </c>
      <c r="K10" s="27" t="str">
        <f>IF(OR(Q9="Pending",LEFT(Q9,3)="Tie"),"TBD",Q9)</f>
        <v>TBD</v>
      </c>
      <c r="L10" s="27" t="str">
        <f>IF(OR(R9="Pending",LEFT(R9,3)="Tie"),"TBD",R9)</f>
        <v>TBD</v>
      </c>
      <c r="M10" s="27"/>
      <c r="N10" s="27"/>
      <c r="O10" s="27"/>
      <c r="P10" s="27" t="str">
        <f t="shared" si="1"/>
        <v/>
      </c>
      <c r="Q10" s="25" t="str">
        <f t="shared" si="2"/>
        <v>Pending</v>
      </c>
      <c r="R10" s="25" t="str">
        <f t="shared" si="3"/>
        <v>Pending</v>
      </c>
      <c r="S10" s="27"/>
      <c r="T10" s="27"/>
    </row>
    <row r="11" spans="1:20" x14ac:dyDescent="0.15">
      <c r="A11" s="22" t="s">
        <v>16</v>
      </c>
      <c r="B11" s="22" t="s">
        <v>163</v>
      </c>
      <c r="C11" s="22">
        <v>1</v>
      </c>
      <c r="D11" s="22" t="str">
        <f>Qualifiers!B20</f>
        <v>Rithu + Darshan Patel</v>
      </c>
      <c r="E11" s="22" t="str">
        <f>Qualifiers!C20</f>
        <v>Team 3</v>
      </c>
      <c r="F11" s="23"/>
      <c r="G11" s="23"/>
      <c r="H11" s="23"/>
      <c r="I11" s="23" t="str">
        <f t="shared" si="0"/>
        <v/>
      </c>
      <c r="J11" s="24">
        <v>4</v>
      </c>
      <c r="K11" s="24" t="str">
        <f>Qualifiers!B23</f>
        <v>Drishti + Sanath</v>
      </c>
      <c r="L11" s="24" t="str">
        <f>Qualifiers!C23</f>
        <v>Team 6</v>
      </c>
      <c r="M11" s="24"/>
      <c r="N11" s="24"/>
      <c r="O11" s="24"/>
      <c r="P11" s="24" t="str">
        <f t="shared" si="1"/>
        <v/>
      </c>
      <c r="Q11" s="22" t="str">
        <f t="shared" si="2"/>
        <v>Pending</v>
      </c>
      <c r="R11" s="22" t="str">
        <f t="shared" si="3"/>
        <v>Pending</v>
      </c>
      <c r="S11" s="24"/>
      <c r="T11" s="24"/>
    </row>
    <row r="12" spans="1:20" x14ac:dyDescent="0.15">
      <c r="A12" s="22" t="s">
        <v>16</v>
      </c>
      <c r="B12" s="22" t="s">
        <v>164</v>
      </c>
      <c r="C12" s="22">
        <v>2</v>
      </c>
      <c r="D12" s="22" t="str">
        <f>Qualifiers!B21</f>
        <v>Keerthana + Abhiram</v>
      </c>
      <c r="E12" s="22" t="str">
        <f>Qualifiers!C21</f>
        <v>Team 2</v>
      </c>
      <c r="F12" s="23"/>
      <c r="G12" s="23"/>
      <c r="H12" s="23"/>
      <c r="I12" s="23" t="str">
        <f t="shared" si="0"/>
        <v/>
      </c>
      <c r="J12" s="24">
        <v>3</v>
      </c>
      <c r="K12" s="24" t="str">
        <f>Qualifiers!B22</f>
        <v>Yukti + Niranjan</v>
      </c>
      <c r="L12" s="24" t="str">
        <f>Qualifiers!C22</f>
        <v>Team 5</v>
      </c>
      <c r="M12" s="24"/>
      <c r="N12" s="24"/>
      <c r="O12" s="24"/>
      <c r="P12" s="24" t="str">
        <f t="shared" si="1"/>
        <v/>
      </c>
      <c r="Q12" s="22" t="str">
        <f t="shared" si="2"/>
        <v>Pending</v>
      </c>
      <c r="R12" s="22" t="str">
        <f t="shared" si="3"/>
        <v>Pending</v>
      </c>
      <c r="S12" s="24"/>
      <c r="T12" s="24"/>
    </row>
    <row r="13" spans="1:20" x14ac:dyDescent="0.15">
      <c r="A13" s="25" t="s">
        <v>16</v>
      </c>
      <c r="B13" s="25" t="s">
        <v>165</v>
      </c>
      <c r="C13" s="25" t="s">
        <v>166</v>
      </c>
      <c r="D13" s="25" t="str">
        <f>IF(OR(Q11="Pending",LEFT(Q11,3)="Tie"),"TBD",Q11)</f>
        <v>TBD</v>
      </c>
      <c r="E13" s="25" t="str">
        <f>IF(OR(R11="Pending",LEFT(R11,3)="Tie"),"TBD",R11)</f>
        <v>TBD</v>
      </c>
      <c r="F13" s="26"/>
      <c r="G13" s="26"/>
      <c r="H13" s="26"/>
      <c r="I13" s="26" t="str">
        <f t="shared" si="0"/>
        <v/>
      </c>
      <c r="J13" s="27" t="s">
        <v>167</v>
      </c>
      <c r="K13" s="27" t="str">
        <f>IF(OR(Q12="Pending",LEFT(Q12,3)="Tie"),"TBD",Q12)</f>
        <v>TBD</v>
      </c>
      <c r="L13" s="27" t="str">
        <f>IF(OR(R12="Pending",LEFT(R12,3)="Tie"),"TBD",R12)</f>
        <v>TBD</v>
      </c>
      <c r="M13" s="27"/>
      <c r="N13" s="27"/>
      <c r="O13" s="27"/>
      <c r="P13" s="27" t="str">
        <f t="shared" si="1"/>
        <v/>
      </c>
      <c r="Q13" s="25" t="str">
        <f t="shared" si="2"/>
        <v>Pending</v>
      </c>
      <c r="R13" s="25" t="str">
        <f t="shared" si="3"/>
        <v>Pending</v>
      </c>
      <c r="S13" s="27"/>
      <c r="T13" s="27"/>
    </row>
    <row r="14" spans="1:20" x14ac:dyDescent="0.15">
      <c r="A14" s="28" t="s">
        <v>168</v>
      </c>
      <c r="B14" s="28" t="s">
        <v>141</v>
      </c>
      <c r="C14" s="28" t="s">
        <v>169</v>
      </c>
      <c r="D14" s="28" t="str">
        <f>Qualifiers!C27</f>
        <v>Sujal</v>
      </c>
      <c r="E14" s="28" t="str">
        <f>Qualifiers!D27</f>
        <v>Team 3</v>
      </c>
      <c r="F14" s="29"/>
      <c r="G14" s="29"/>
      <c r="H14" s="29"/>
      <c r="I14" s="29" t="str">
        <f t="shared" si="0"/>
        <v/>
      </c>
      <c r="J14" s="30" t="s">
        <v>170</v>
      </c>
      <c r="K14" s="30" t="str">
        <f>Qualifiers!F27</f>
        <v>Aman Doshi</v>
      </c>
      <c r="L14" s="30" t="str">
        <f>Qualifiers!G27</f>
        <v>Team 1</v>
      </c>
      <c r="M14" s="30"/>
      <c r="N14" s="30"/>
      <c r="O14" s="30"/>
      <c r="P14" s="30" t="str">
        <f t="shared" si="1"/>
        <v/>
      </c>
      <c r="Q14" s="28" t="str">
        <f t="shared" si="2"/>
        <v>Pending</v>
      </c>
      <c r="R14" s="28" t="str">
        <f t="shared" si="3"/>
        <v>Pending</v>
      </c>
      <c r="S14" s="30" t="str">
        <f>IF(OR(Q14="Pending",LEFT(Q14,3)="Tie"),"",SUMIF('[1]Qualification Data'!$D$23:$D$34,Q14,'[1]Qualification Data'!$F$23:$F$34)+IF(Q14=D14,F14,M14))</f>
        <v/>
      </c>
      <c r="T14" s="30" t="str">
        <f>IF(S14="","",1+COUNTIF($S$14:$S$17,"&gt;"&amp;S14)+COUNTIF($S$14:S14,S14)-1)</f>
        <v/>
      </c>
    </row>
    <row r="15" spans="1:20" x14ac:dyDescent="0.15">
      <c r="A15" s="28" t="s">
        <v>168</v>
      </c>
      <c r="B15" s="28" t="s">
        <v>142</v>
      </c>
      <c r="C15" s="28" t="s">
        <v>171</v>
      </c>
      <c r="D15" s="28" t="str">
        <f>Qualifiers!C28</f>
        <v>Pavan D</v>
      </c>
      <c r="E15" s="28" t="str">
        <f>Qualifiers!D28</f>
        <v>Team 5</v>
      </c>
      <c r="F15" s="29"/>
      <c r="G15" s="29"/>
      <c r="H15" s="29"/>
      <c r="I15" s="29" t="str">
        <f t="shared" si="0"/>
        <v/>
      </c>
      <c r="J15" s="30" t="s">
        <v>172</v>
      </c>
      <c r="K15" s="30" t="str">
        <f>Qualifiers!F28</f>
        <v>Navtej</v>
      </c>
      <c r="L15" s="30" t="str">
        <f>Qualifiers!G28</f>
        <v>Team 6</v>
      </c>
      <c r="M15" s="30"/>
      <c r="N15" s="30"/>
      <c r="O15" s="30"/>
      <c r="P15" s="30" t="str">
        <f t="shared" si="1"/>
        <v/>
      </c>
      <c r="Q15" s="28" t="str">
        <f t="shared" si="2"/>
        <v>Pending</v>
      </c>
      <c r="R15" s="28" t="str">
        <f t="shared" si="3"/>
        <v>Pending</v>
      </c>
      <c r="S15" s="30" t="str">
        <f>IF(OR(Q15="Pending",LEFT(Q15,3)="Tie"),"",SUMIF('[1]Qualification Data'!$D$23:$D$34,Q15,'[1]Qualification Data'!$F$23:$F$34)+IF(Q15=D15,F15,M15))</f>
        <v/>
      </c>
      <c r="T15" s="30" t="str">
        <f>IF(S15="","",1+COUNTIF($S$14:$S$17,"&gt;"&amp;S15)+COUNTIF($S$14:S15,S15)-1)</f>
        <v/>
      </c>
    </row>
    <row r="16" spans="1:20" x14ac:dyDescent="0.15">
      <c r="A16" s="28" t="s">
        <v>168</v>
      </c>
      <c r="B16" s="28" t="s">
        <v>143</v>
      </c>
      <c r="C16" s="28" t="s">
        <v>173</v>
      </c>
      <c r="D16" s="28" t="str">
        <f>Qualifiers!C29</f>
        <v>Anshul</v>
      </c>
      <c r="E16" s="28" t="str">
        <f>Qualifiers!D29</f>
        <v>Team 6</v>
      </c>
      <c r="F16" s="29"/>
      <c r="G16" s="29"/>
      <c r="H16" s="29"/>
      <c r="I16" s="29" t="str">
        <f t="shared" si="0"/>
        <v/>
      </c>
      <c r="J16" s="30" t="s">
        <v>174</v>
      </c>
      <c r="K16" s="30" t="str">
        <f>Qualifiers!F29</f>
        <v>Vidwan</v>
      </c>
      <c r="L16" s="30" t="str">
        <f>Qualifiers!G29</f>
        <v>Team 5</v>
      </c>
      <c r="M16" s="30"/>
      <c r="N16" s="30"/>
      <c r="O16" s="30"/>
      <c r="P16" s="30" t="str">
        <f t="shared" si="1"/>
        <v/>
      </c>
      <c r="Q16" s="28" t="str">
        <f t="shared" si="2"/>
        <v>Pending</v>
      </c>
      <c r="R16" s="28" t="str">
        <f t="shared" si="3"/>
        <v>Pending</v>
      </c>
      <c r="S16" s="30" t="str">
        <f>IF(OR(Q16="Pending",LEFT(Q16,3)="Tie"),"",SUMIF('[1]Qualification Data'!$D$23:$D$34,Q16,'[1]Qualification Data'!$F$23:$F$34)+IF(Q16=D16,F16,M16))</f>
        <v/>
      </c>
      <c r="T16" s="30" t="str">
        <f>IF(S16="","",1+COUNTIF($S$14:$S$17,"&gt;"&amp;S16)+COUNTIF($S$14:S16,S16)-1)</f>
        <v/>
      </c>
    </row>
    <row r="17" spans="1:20" x14ac:dyDescent="0.15">
      <c r="A17" s="28" t="s">
        <v>168</v>
      </c>
      <c r="B17" s="28" t="s">
        <v>144</v>
      </c>
      <c r="C17" s="28" t="s">
        <v>175</v>
      </c>
      <c r="D17" s="28" t="str">
        <f>Qualifiers!C30</f>
        <v>Saurabh</v>
      </c>
      <c r="E17" s="28" t="str">
        <f>Qualifiers!D30</f>
        <v>Team 1</v>
      </c>
      <c r="F17" s="29"/>
      <c r="G17" s="29"/>
      <c r="H17" s="29"/>
      <c r="I17" s="29" t="str">
        <f t="shared" si="0"/>
        <v/>
      </c>
      <c r="J17" s="30" t="s">
        <v>176</v>
      </c>
      <c r="K17" s="30" t="str">
        <f>Qualifiers!F30</f>
        <v>Jay B</v>
      </c>
      <c r="L17" s="30" t="str">
        <f>Qualifiers!G30</f>
        <v>Team 4</v>
      </c>
      <c r="M17" s="30"/>
      <c r="N17" s="30"/>
      <c r="O17" s="30"/>
      <c r="P17" s="30" t="str">
        <f t="shared" si="1"/>
        <v/>
      </c>
      <c r="Q17" s="28" t="str">
        <f t="shared" si="2"/>
        <v>Pending</v>
      </c>
      <c r="R17" s="28" t="str">
        <f t="shared" si="3"/>
        <v>Pending</v>
      </c>
      <c r="S17" s="30" t="str">
        <f>IF(OR(Q17="Pending",LEFT(Q17,3)="Tie"),"",SUMIF('[1]Qualification Data'!$D$23:$D$34,Q17,'[1]Qualification Data'!$F$23:$F$34)+IF(Q17=D17,F17,M17))</f>
        <v/>
      </c>
      <c r="T17" s="30" t="str">
        <f>IF(S17="","",1+COUNTIF($S$14:$S$17,"&gt;"&amp;S17)+COUNTIF($S$14:S17,S17)-1)</f>
        <v/>
      </c>
    </row>
    <row r="18" spans="1:20" x14ac:dyDescent="0.15">
      <c r="A18" s="22" t="s">
        <v>168</v>
      </c>
      <c r="B18" s="22" t="s">
        <v>163</v>
      </c>
      <c r="C18" s="22" t="str">
        <f>IF(COUNT($T$14:$T$17)&lt;4,"Awaiting QFs","Score Rank 1 ("&amp;INDEX($S$14:$S$17,MATCH(1,$T$14:$T$17,0))&amp;")")</f>
        <v>Awaiting QFs</v>
      </c>
      <c r="D18" s="22" t="str">
        <f>IF(COUNT($T$14:$T$17)&lt;4,"TBD",INDEX($Q$14:$Q$17,MATCH(1,$T$14:$T$17,0)))</f>
        <v>TBD</v>
      </c>
      <c r="E18" s="22" t="str">
        <f>IF(D18="TBD","TBD",INDEX($R$14:$R$17,MATCH(1,$T$14:$T$17,0)))</f>
        <v>TBD</v>
      </c>
      <c r="F18" s="23"/>
      <c r="G18" s="23"/>
      <c r="H18" s="23"/>
      <c r="I18" s="23" t="str">
        <f t="shared" si="0"/>
        <v/>
      </c>
      <c r="J18" s="24" t="str">
        <f>IF(COUNT($T$14:$T$17)&lt;4,"Awaiting QFs","Score Rank 4 ("&amp;INDEX($S$14:$S$17,MATCH(4,$T$14:$T$17,0))&amp;")")</f>
        <v>Awaiting QFs</v>
      </c>
      <c r="K18" s="24" t="str">
        <f>IF(COUNT($T$14:$T$17)&lt;4,"TBD",INDEX($Q$14:$Q$17,MATCH(4,$T$14:$T$17,0)))</f>
        <v>TBD</v>
      </c>
      <c r="L18" s="24" t="str">
        <f>IF(K18="TBD","TBD",INDEX($R$14:$R$17,MATCH(4,$T$14:$T$17,0)))</f>
        <v>TBD</v>
      </c>
      <c r="M18" s="24"/>
      <c r="N18" s="24"/>
      <c r="O18" s="24"/>
      <c r="P18" s="24" t="str">
        <f t="shared" si="1"/>
        <v/>
      </c>
      <c r="Q18" s="22" t="str">
        <f t="shared" si="2"/>
        <v>Pending</v>
      </c>
      <c r="R18" s="22" t="str">
        <f t="shared" si="3"/>
        <v>Pending</v>
      </c>
      <c r="S18" s="24"/>
      <c r="T18" s="24"/>
    </row>
    <row r="19" spans="1:20" x14ac:dyDescent="0.15">
      <c r="A19" s="22" t="s">
        <v>168</v>
      </c>
      <c r="B19" s="22" t="s">
        <v>164</v>
      </c>
      <c r="C19" s="22" t="str">
        <f>IF(COUNT($T$14:$T$17)&lt;4,"Awaiting QFs","Score Rank 2 ("&amp;INDEX($S$14:$S$17,MATCH(2,$T$14:$T$17,0))&amp;")")</f>
        <v>Awaiting QFs</v>
      </c>
      <c r="D19" s="22" t="str">
        <f>IF(COUNT($T$14:$T$17)&lt;4,"TBD",INDEX($Q$14:$Q$17,MATCH(2,$T$14:$T$17,0)))</f>
        <v>TBD</v>
      </c>
      <c r="E19" s="22" t="str">
        <f>IF(D19="TBD","TBD",INDEX($R$14:$R$17,MATCH(2,$T$14:$T$17,0)))</f>
        <v>TBD</v>
      </c>
      <c r="F19" s="23"/>
      <c r="G19" s="23"/>
      <c r="H19" s="23"/>
      <c r="I19" s="23" t="str">
        <f t="shared" si="0"/>
        <v/>
      </c>
      <c r="J19" s="24" t="str">
        <f>IF(COUNT($T$14:$T$17)&lt;4,"Awaiting QFs","Score Rank 3 ("&amp;INDEX($S$14:$S$17,MATCH(3,$T$14:$T$17,0))&amp;")")</f>
        <v>Awaiting QFs</v>
      </c>
      <c r="K19" s="24" t="str">
        <f>IF(COUNT($T$14:$T$17)&lt;4,"TBD",INDEX($Q$14:$Q$17,MATCH(3,$T$14:$T$17,0)))</f>
        <v>TBD</v>
      </c>
      <c r="L19" s="24" t="str">
        <f>IF(K19="TBD","TBD",INDEX($R$14:$R$17,MATCH(3,$T$14:$T$17,0)))</f>
        <v>TBD</v>
      </c>
      <c r="M19" s="24"/>
      <c r="N19" s="24"/>
      <c r="O19" s="24"/>
      <c r="P19" s="24" t="str">
        <f t="shared" si="1"/>
        <v/>
      </c>
      <c r="Q19" s="22" t="str">
        <f t="shared" si="2"/>
        <v>Pending</v>
      </c>
      <c r="R19" s="22" t="str">
        <f t="shared" si="3"/>
        <v>Pending</v>
      </c>
      <c r="S19" s="24"/>
      <c r="T19" s="24"/>
    </row>
    <row r="20" spans="1:20" x14ac:dyDescent="0.15">
      <c r="A20" s="25" t="s">
        <v>168</v>
      </c>
      <c r="B20" s="25" t="s">
        <v>165</v>
      </c>
      <c r="C20" s="25" t="s">
        <v>166</v>
      </c>
      <c r="D20" s="25" t="str">
        <f>IF(OR(Q18="Pending",LEFT(Q18,3)="Tie"),"TBD",Q18)</f>
        <v>TBD</v>
      </c>
      <c r="E20" s="25" t="str">
        <f>IF(OR(R18="Pending",LEFT(R18,3)="Tie"),"TBD",R18)</f>
        <v>TBD</v>
      </c>
      <c r="F20" s="26"/>
      <c r="G20" s="26"/>
      <c r="H20" s="26"/>
      <c r="I20" s="26" t="str">
        <f t="shared" si="0"/>
        <v/>
      </c>
      <c r="J20" s="27" t="s">
        <v>167</v>
      </c>
      <c r="K20" s="27" t="str">
        <f>IF(OR(Q19="Pending",LEFT(Q19,3)="Tie"),"TBD",Q19)</f>
        <v>TBD</v>
      </c>
      <c r="L20" s="27" t="str">
        <f>IF(OR(R19="Pending",LEFT(R19,3)="Tie"),"TBD",R19)</f>
        <v>TBD</v>
      </c>
      <c r="M20" s="27"/>
      <c r="N20" s="27"/>
      <c r="O20" s="27"/>
      <c r="P20" s="27" t="str">
        <f t="shared" si="1"/>
        <v/>
      </c>
      <c r="Q20" s="25" t="str">
        <f t="shared" si="2"/>
        <v>Pending</v>
      </c>
      <c r="R20" s="25" t="str">
        <f t="shared" si="3"/>
        <v>Pending</v>
      </c>
      <c r="S20" s="27"/>
      <c r="T20" s="27"/>
    </row>
    <row r="21" spans="1:20" x14ac:dyDescent="0.15">
      <c r="A21" s="28"/>
      <c r="B21" s="28"/>
      <c r="C21" s="28"/>
      <c r="D21" s="28"/>
      <c r="E21" s="28"/>
      <c r="F21" s="29"/>
      <c r="G21" s="29"/>
      <c r="H21" s="29"/>
      <c r="I21" s="29"/>
      <c r="J21" s="30"/>
      <c r="K21" s="30"/>
      <c r="L21" s="30"/>
      <c r="M21" s="30"/>
      <c r="N21" s="30"/>
      <c r="O21" s="30"/>
      <c r="P21" s="30"/>
      <c r="Q21" s="28"/>
      <c r="R21" s="28"/>
      <c r="S21" s="30"/>
      <c r="T21" s="30"/>
    </row>
    <row r="22" spans="1:20" x14ac:dyDescent="0.15">
      <c r="A22" s="28" t="s">
        <v>177</v>
      </c>
      <c r="B22" s="28" t="s">
        <v>141</v>
      </c>
      <c r="C22" s="28" t="s">
        <v>178</v>
      </c>
      <c r="D22" s="28" t="str">
        <f>Qualifiers!C40</f>
        <v>Kunal D + Anirudha H</v>
      </c>
      <c r="E22" s="28" t="str">
        <f>Qualifiers!D40</f>
        <v>Team 3</v>
      </c>
      <c r="F22" s="29"/>
      <c r="G22" s="29"/>
      <c r="H22" s="29"/>
      <c r="I22" s="29" t="str">
        <f t="shared" ref="I22:I28" si="4">IF(OR(F22="",M22=""),"",--(F22&gt;M22)+IF(OR(G22="",N22=""),0,--(G22&gt;N22))+IF(OR(H22="",O22=""),0,--(H22&gt;O22)))</f>
        <v/>
      </c>
      <c r="J22" s="30" t="s">
        <v>179</v>
      </c>
      <c r="K22" s="30" t="str">
        <f>Qualifiers!F40</f>
        <v>Yuvraj + Karthik KB</v>
      </c>
      <c r="L22" s="30" t="str">
        <f>Qualifiers!G40</f>
        <v>Team 2</v>
      </c>
      <c r="M22" s="30"/>
      <c r="N22" s="30"/>
      <c r="O22" s="30"/>
      <c r="P22" s="30" t="str">
        <f t="shared" ref="P22:P28" si="5">IF(OR(F22="",M22=""),"",--(M22&gt;F22)+IF(OR(G22="",N22=""),0,--(N22&gt;G22))+IF(OR(H22="",O22=""),0,--(O22&gt;H22)))</f>
        <v/>
      </c>
      <c r="Q22" s="28" t="str">
        <f t="shared" ref="Q22:Q28" si="6">IF(OR(I22="",P22=""),"Pending",IF(I22=P22,"Tie - review",IF(I22&gt;P22,D22,K22)))</f>
        <v>Pending</v>
      </c>
      <c r="R22" s="28" t="str">
        <f t="shared" ref="R22:R28" si="7">IF(OR(I22="",P22=""),"Pending",IF(I22=P22,"Tie - review",IF(I22&gt;P22,E22,L22)))</f>
        <v>Pending</v>
      </c>
      <c r="S22" s="30" t="str">
        <f>IF(OR(Q22="Pending",LEFT(Q22,3)="Tie"),"",SUMIF('[1]Qualification Data'!$D$36:$D$47,Q22,'[1]Qualification Data'!$F$36:$F$47)+IF(Q22=D22,F22,M22))</f>
        <v/>
      </c>
      <c r="T22" s="30" t="str">
        <f>IF(S22="","",1+COUNTIF($S$22:$S$25,"&gt;"&amp;S22)+COUNTIF($S$22:S22,S22)-1)</f>
        <v/>
      </c>
    </row>
    <row r="23" spans="1:20" x14ac:dyDescent="0.15">
      <c r="A23" s="28" t="s">
        <v>177</v>
      </c>
      <c r="B23" s="28" t="s">
        <v>142</v>
      </c>
      <c r="C23" s="28" t="s">
        <v>180</v>
      </c>
      <c r="D23" s="28" t="str">
        <f>Qualifiers!C41</f>
        <v>Leela Sagar + Ali Akbar</v>
      </c>
      <c r="E23" s="28" t="str">
        <f>Qualifiers!D41</f>
        <v>Team 4</v>
      </c>
      <c r="F23" s="29"/>
      <c r="G23" s="29"/>
      <c r="H23" s="29"/>
      <c r="I23" s="29" t="str">
        <f t="shared" si="4"/>
        <v/>
      </c>
      <c r="J23" s="30" t="s">
        <v>181</v>
      </c>
      <c r="K23" s="30" t="str">
        <f>Qualifiers!F41</f>
        <v>Khush B + Hemanth</v>
      </c>
      <c r="L23" s="30" t="str">
        <f>Qualifiers!G41</f>
        <v>Team 4</v>
      </c>
      <c r="M23" s="30"/>
      <c r="N23" s="30"/>
      <c r="O23" s="30"/>
      <c r="P23" s="30" t="str">
        <f t="shared" si="5"/>
        <v/>
      </c>
      <c r="Q23" s="28" t="str">
        <f t="shared" si="6"/>
        <v>Pending</v>
      </c>
      <c r="R23" s="28" t="str">
        <f t="shared" si="7"/>
        <v>Pending</v>
      </c>
      <c r="S23" s="30" t="str">
        <f>IF(OR(Q23="Pending",LEFT(Q23,3)="Tie"),"",SUMIF('[1]Qualification Data'!$D$36:$D$47,Q23,'[1]Qualification Data'!$F$36:$F$47)+IF(Q23=D23,F23,M23))</f>
        <v/>
      </c>
      <c r="T23" s="30" t="str">
        <f>IF(S23="","",1+COUNTIF($S$22:$S$25,"&gt;"&amp;S23)+COUNTIF($S$22:S23,S23)-1)</f>
        <v/>
      </c>
    </row>
    <row r="24" spans="1:20" x14ac:dyDescent="0.15">
      <c r="A24" s="28" t="s">
        <v>177</v>
      </c>
      <c r="B24" s="28" t="s">
        <v>143</v>
      </c>
      <c r="C24" s="28" t="s">
        <v>182</v>
      </c>
      <c r="D24" s="28" t="str">
        <f>Qualifiers!C42</f>
        <v>Nikhil M + Jinendar</v>
      </c>
      <c r="E24" s="28" t="str">
        <f>Qualifiers!D42</f>
        <v>Team 1</v>
      </c>
      <c r="F24" s="29"/>
      <c r="G24" s="29"/>
      <c r="H24" s="29"/>
      <c r="I24" s="29" t="str">
        <f t="shared" si="4"/>
        <v/>
      </c>
      <c r="J24" s="30" t="s">
        <v>183</v>
      </c>
      <c r="K24" s="30" t="str">
        <f>Qualifiers!F42</f>
        <v>Rohan + Bhuvanesh</v>
      </c>
      <c r="L24" s="30" t="str">
        <f>Qualifiers!G42</f>
        <v>Team 6</v>
      </c>
      <c r="M24" s="30"/>
      <c r="N24" s="30"/>
      <c r="O24" s="30"/>
      <c r="P24" s="30" t="str">
        <f t="shared" si="5"/>
        <v/>
      </c>
      <c r="Q24" s="28" t="str">
        <f t="shared" si="6"/>
        <v>Pending</v>
      </c>
      <c r="R24" s="28" t="str">
        <f t="shared" si="7"/>
        <v>Pending</v>
      </c>
      <c r="S24" s="30" t="str">
        <f>IF(OR(Q24="Pending",LEFT(Q24,3)="Tie"),"",SUMIF('[1]Qualification Data'!$D$36:$D$47,Q24,'[1]Qualification Data'!$F$36:$F$47)+IF(Q24=D24,F24,M24))</f>
        <v/>
      </c>
      <c r="T24" s="30" t="str">
        <f>IF(S24="","",1+COUNTIF($S$22:$S$25,"&gt;"&amp;S24)+COUNTIF($S$22:S24,S24)-1)</f>
        <v/>
      </c>
    </row>
    <row r="25" spans="1:20" x14ac:dyDescent="0.15">
      <c r="A25" s="28" t="s">
        <v>177</v>
      </c>
      <c r="B25" s="28" t="s">
        <v>144</v>
      </c>
      <c r="C25" s="28" t="s">
        <v>184</v>
      </c>
      <c r="D25" s="28" t="str">
        <f>Qualifiers!C43</f>
        <v>Kushal + Shubham</v>
      </c>
      <c r="E25" s="28" t="str">
        <f>Qualifiers!D43</f>
        <v>Team 2</v>
      </c>
      <c r="F25" s="29"/>
      <c r="G25" s="29"/>
      <c r="H25" s="29"/>
      <c r="I25" s="29" t="str">
        <f t="shared" si="4"/>
        <v/>
      </c>
      <c r="J25" s="30" t="s">
        <v>185</v>
      </c>
      <c r="K25" s="30" t="str">
        <f>Qualifiers!F43</f>
        <v>Sarvesh H + Deviprasad</v>
      </c>
      <c r="L25" s="30" t="str">
        <f>Qualifiers!G43</f>
        <v>Team 3</v>
      </c>
      <c r="M25" s="30"/>
      <c r="N25" s="30"/>
      <c r="O25" s="30"/>
      <c r="P25" s="30" t="str">
        <f t="shared" si="5"/>
        <v/>
      </c>
      <c r="Q25" s="28" t="str">
        <f t="shared" si="6"/>
        <v>Pending</v>
      </c>
      <c r="R25" s="28" t="str">
        <f t="shared" si="7"/>
        <v>Pending</v>
      </c>
      <c r="S25" s="30" t="str">
        <f>IF(OR(Q25="Pending",LEFT(Q25,3)="Tie"),"",SUMIF('[1]Qualification Data'!$D$36:$D$47,Q25,'[1]Qualification Data'!$F$36:$F$47)+IF(Q25=D25,F25,M25))</f>
        <v/>
      </c>
      <c r="T25" s="30" t="str">
        <f>IF(S25="","",1+COUNTIF($S$22:$S$25,"&gt;"&amp;S25)+COUNTIF($S$22:S25,S25)-1)</f>
        <v/>
      </c>
    </row>
    <row r="26" spans="1:20" x14ac:dyDescent="0.15">
      <c r="A26" s="22" t="s">
        <v>177</v>
      </c>
      <c r="B26" s="22" t="s">
        <v>163</v>
      </c>
      <c r="C26" s="22" t="str">
        <f>IF(COUNT($T$22:$T$25)&lt;4,"Awaiting QFs","Score Rank 1 ("&amp;INDEX($S$22:$S$25,MATCH(1,$T$22:$T$25,0))&amp;")")</f>
        <v>Awaiting QFs</v>
      </c>
      <c r="D26" s="22" t="str">
        <f>IF(COUNT($T$22:$T$25)&lt;4,"TBD",INDEX($Q$22:$Q$25,MATCH(1,$T$22:$T$25,0)))</f>
        <v>TBD</v>
      </c>
      <c r="E26" s="22" t="str">
        <f>IF(D26="TBD","TBD",INDEX($R$22:$R$25,MATCH(1,$T$22:$T$25,0)))</f>
        <v>TBD</v>
      </c>
      <c r="F26" s="23"/>
      <c r="G26" s="23"/>
      <c r="H26" s="23"/>
      <c r="I26" s="23" t="str">
        <f t="shared" si="4"/>
        <v/>
      </c>
      <c r="J26" s="24" t="str">
        <f>IF(COUNT($T$22:$T$25)&lt;4,"Awaiting QFs","Score Rank 4 ("&amp;INDEX($S$22:$S$25,MATCH(4,$T$22:$T$25,0))&amp;")")</f>
        <v>Awaiting QFs</v>
      </c>
      <c r="K26" s="24" t="str">
        <f>IF(COUNT($T$22:$T$25)&lt;4,"TBD",INDEX($Q$22:$Q$25,MATCH(4,$T$22:$T$25,0)))</f>
        <v>TBD</v>
      </c>
      <c r="L26" s="24" t="str">
        <f>IF(K26="TBD","TBD",INDEX($R$22:$R$25,MATCH(4,$T$22:$T$25,0)))</f>
        <v>TBD</v>
      </c>
      <c r="M26" s="24"/>
      <c r="N26" s="24"/>
      <c r="O26" s="24"/>
      <c r="P26" s="24" t="str">
        <f t="shared" si="5"/>
        <v/>
      </c>
      <c r="Q26" s="22" t="str">
        <f t="shared" si="6"/>
        <v>Pending</v>
      </c>
      <c r="R26" s="22" t="str">
        <f t="shared" si="7"/>
        <v>Pending</v>
      </c>
      <c r="S26" s="24"/>
      <c r="T26" s="24"/>
    </row>
    <row r="27" spans="1:20" x14ac:dyDescent="0.15">
      <c r="A27" s="22" t="s">
        <v>177</v>
      </c>
      <c r="B27" s="22" t="s">
        <v>164</v>
      </c>
      <c r="C27" s="22" t="str">
        <f>IF(COUNT($T$22:$T$25)&lt;4,"Awaiting QFs","Score Rank 2 ("&amp;INDEX($S$22:$S$25,MATCH(2,$T$22:$T$25,0))&amp;")")</f>
        <v>Awaiting QFs</v>
      </c>
      <c r="D27" s="22" t="str">
        <f>IF(COUNT($T$22:$T$25)&lt;4,"TBD",INDEX($Q$22:$Q$25,MATCH(2,$T$22:$T$25,0)))</f>
        <v>TBD</v>
      </c>
      <c r="E27" s="22" t="str">
        <f>IF(D27="TBD","TBD",INDEX($R$22:$R$25,MATCH(2,$T$22:$T$25,0)))</f>
        <v>TBD</v>
      </c>
      <c r="F27" s="23"/>
      <c r="G27" s="23"/>
      <c r="H27" s="23"/>
      <c r="I27" s="23" t="str">
        <f t="shared" si="4"/>
        <v/>
      </c>
      <c r="J27" s="24" t="str">
        <f>IF(COUNT($T$22:$T$25)&lt;4,"Awaiting QFs","Score Rank 3 ("&amp;INDEX($S$22:$S$25,MATCH(3,$T$22:$T$25,0))&amp;")")</f>
        <v>Awaiting QFs</v>
      </c>
      <c r="K27" s="24" t="str">
        <f>IF(COUNT($T$22:$T$25)&lt;4,"TBD",INDEX($Q$22:$Q$25,MATCH(3,$T$22:$T$25,0)))</f>
        <v>TBD</v>
      </c>
      <c r="L27" s="24" t="str">
        <f>IF(K27="TBD","TBD",INDEX($R$22:$R$25,MATCH(3,$T$22:$T$25,0)))</f>
        <v>TBD</v>
      </c>
      <c r="M27" s="24"/>
      <c r="N27" s="24"/>
      <c r="O27" s="24"/>
      <c r="P27" s="24" t="str">
        <f t="shared" si="5"/>
        <v/>
      </c>
      <c r="Q27" s="22" t="str">
        <f t="shared" si="6"/>
        <v>Pending</v>
      </c>
      <c r="R27" s="22" t="str">
        <f t="shared" si="7"/>
        <v>Pending</v>
      </c>
      <c r="S27" s="24"/>
      <c r="T27" s="24"/>
    </row>
    <row r="28" spans="1:20" x14ac:dyDescent="0.15">
      <c r="A28" s="25" t="s">
        <v>177</v>
      </c>
      <c r="B28" s="25" t="s">
        <v>165</v>
      </c>
      <c r="C28" s="25" t="s">
        <v>166</v>
      </c>
      <c r="D28" s="25" t="str">
        <f>IF(OR(Q26="Pending",LEFT(Q26,3)="Tie"),"TBD",Q26)</f>
        <v>TBD</v>
      </c>
      <c r="E28" s="25" t="str">
        <f>IF(OR(R26="Pending",LEFT(R26,3)="Tie"),"TBD",R26)</f>
        <v>TBD</v>
      </c>
      <c r="F28" s="26"/>
      <c r="G28" s="26"/>
      <c r="H28" s="26"/>
      <c r="I28" s="26" t="str">
        <f t="shared" si="4"/>
        <v/>
      </c>
      <c r="J28" s="27" t="s">
        <v>167</v>
      </c>
      <c r="K28" s="27" t="str">
        <f>IF(OR(Q27="Pending",LEFT(Q27,3)="Tie"),"TBD",Q27)</f>
        <v>TBD</v>
      </c>
      <c r="L28" s="27" t="str">
        <f>IF(OR(R27="Pending",LEFT(R27,3)="Tie"),"TBD",R27)</f>
        <v>TBD</v>
      </c>
      <c r="M28" s="27"/>
      <c r="N28" s="27"/>
      <c r="O28" s="27"/>
      <c r="P28" s="27" t="str">
        <f t="shared" si="5"/>
        <v/>
      </c>
      <c r="Q28" s="25" t="str">
        <f t="shared" si="6"/>
        <v>Pending</v>
      </c>
      <c r="R28" s="25" t="str">
        <f t="shared" si="7"/>
        <v>Pending</v>
      </c>
      <c r="S28" s="27"/>
      <c r="T28" s="27"/>
    </row>
  </sheetData>
  <mergeCells count="2">
    <mergeCell ref="A1:T1"/>
    <mergeCell ref="A2:T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54A97-AA9D-4D81-9959-2A009EDEBCE3}">
  <dimension ref="A1:J11"/>
  <sheetViews>
    <sheetView workbookViewId="0">
      <selection activeCell="J3" sqref="J3"/>
    </sheetView>
  </sheetViews>
  <sheetFormatPr baseColWidth="10" defaultColWidth="8.6640625" defaultRowHeight="12" x14ac:dyDescent="0.15"/>
  <cols>
    <col min="1" max="1" width="21.83203125" style="4" customWidth="1"/>
    <col min="2" max="10" width="16" style="4" customWidth="1"/>
    <col min="11" max="16384" width="8.6640625" style="4"/>
  </cols>
  <sheetData>
    <row r="1" spans="1:10" x14ac:dyDescent="0.15">
      <c r="A1" s="37" t="s">
        <v>186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34" customHeight="1" x14ac:dyDescent="0.15">
      <c r="A2" s="41" t="s">
        <v>187</v>
      </c>
      <c r="B2" s="41"/>
      <c r="C2" s="41"/>
      <c r="D2" s="41"/>
      <c r="E2" s="41"/>
      <c r="F2" s="41"/>
      <c r="G2" s="41"/>
      <c r="H2" s="41"/>
      <c r="I2" s="41"/>
      <c r="J2" s="41"/>
    </row>
    <row r="3" spans="1:10" x14ac:dyDescent="0.15">
      <c r="A3" s="13"/>
      <c r="B3" s="13"/>
      <c r="C3" s="13"/>
      <c r="D3" s="13"/>
      <c r="E3" s="13"/>
      <c r="F3" s="13"/>
      <c r="G3" s="13"/>
      <c r="H3" s="13"/>
      <c r="I3" s="13"/>
      <c r="J3" s="13"/>
    </row>
    <row r="4" spans="1:10" ht="26" x14ac:dyDescent="0.15">
      <c r="A4" s="31" t="s">
        <v>114</v>
      </c>
      <c r="B4" s="31" t="s">
        <v>188</v>
      </c>
      <c r="C4" s="31" t="s">
        <v>189</v>
      </c>
      <c r="D4" s="31" t="s">
        <v>190</v>
      </c>
      <c r="E4" s="31" t="s">
        <v>191</v>
      </c>
      <c r="F4" s="31" t="s">
        <v>192</v>
      </c>
      <c r="G4" s="31" t="s">
        <v>193</v>
      </c>
      <c r="H4" s="31" t="s">
        <v>194</v>
      </c>
      <c r="I4" s="31" t="s">
        <v>195</v>
      </c>
      <c r="J4" s="31" t="s">
        <v>117</v>
      </c>
    </row>
    <row r="5" spans="1:10" x14ac:dyDescent="0.15">
      <c r="A5" s="15" t="s">
        <v>2</v>
      </c>
      <c r="B5" s="32">
        <f>COUNTIF('Shuffled Matches'!$L$3:$L$112,$A5)</f>
        <v>3</v>
      </c>
      <c r="C5" s="32">
        <f>COUNTIF(Finals!$R$5:$R$28,$A5)</f>
        <v>0</v>
      </c>
      <c r="D5" s="32">
        <f>B5+C5</f>
        <v>3</v>
      </c>
      <c r="E5" s="32">
        <f>COUNTIFS(Finals!$B$5:$B$28,"Final",Finals!$R$5:$R$28,$A5)</f>
        <v>0</v>
      </c>
      <c r="F5" s="32" cm="1">
        <f t="array" ref="F5">SUMPRODUCT((Finals!$B$5:$B$28="Final")*(Finals!$R$5:$R$28&lt;&gt;$A5)*--(((Finals!$E$5:$E$28=$A5)+(Finals!$L$5:$L$28=$A5))&gt;0))</f>
        <v>0</v>
      </c>
      <c r="G5" s="32">
        <f>E5*5</f>
        <v>0</v>
      </c>
      <c r="H5" s="32">
        <f>F5*3</f>
        <v>0</v>
      </c>
      <c r="I5" s="33">
        <f>D5+G5+H5</f>
        <v>3</v>
      </c>
      <c r="J5" s="33">
        <f>_xlfn.RANK.EQ(I5,$I$5:$I$10,0)</f>
        <v>6</v>
      </c>
    </row>
    <row r="6" spans="1:10" x14ac:dyDescent="0.15">
      <c r="A6" s="15" t="s">
        <v>3</v>
      </c>
      <c r="B6" s="32">
        <f>COUNTIF('Shuffled Matches'!$L$3:$L$112,$A6)</f>
        <v>6</v>
      </c>
      <c r="C6" s="32">
        <f>COUNTIF(Finals!$R$5:$R$28,$A6)</f>
        <v>0</v>
      </c>
      <c r="D6" s="32">
        <f t="shared" ref="D6:D10" si="0">B6+C6</f>
        <v>6</v>
      </c>
      <c r="E6" s="32">
        <f>COUNTIFS(Finals!$B$5:$B$28,"Final",Finals!$R$5:$R$28,$A6)</f>
        <v>0</v>
      </c>
      <c r="F6" s="32" cm="1">
        <f t="array" ref="F6">SUMPRODUCT((Finals!$B$5:$B$28="Final")*(Finals!$R$5:$R$28&lt;&gt;$A6)*--(((Finals!$E$5:$E$28=$A6)+(Finals!$L$5:$L$28=$A6))&gt;0))</f>
        <v>0</v>
      </c>
      <c r="G6" s="32">
        <f t="shared" ref="G6:G10" si="1">E6*5</f>
        <v>0</v>
      </c>
      <c r="H6" s="32">
        <f t="shared" ref="H6:H10" si="2">F6*3</f>
        <v>0</v>
      </c>
      <c r="I6" s="33">
        <f t="shared" ref="I6:I10" si="3">D6+G6+H6</f>
        <v>6</v>
      </c>
      <c r="J6" s="33">
        <f t="shared" ref="J6:J10" si="4">_xlfn.RANK.EQ(I6,$I$5:$I$10,0)</f>
        <v>4</v>
      </c>
    </row>
    <row r="7" spans="1:10" x14ac:dyDescent="0.15">
      <c r="A7" s="15" t="s">
        <v>28</v>
      </c>
      <c r="B7" s="32">
        <f>COUNTIF('Shuffled Matches'!$L$3:$L$112,$A7)</f>
        <v>14</v>
      </c>
      <c r="C7" s="32">
        <f>COUNTIF(Finals!$R$5:$R$28,$A7)</f>
        <v>0</v>
      </c>
      <c r="D7" s="32">
        <f t="shared" si="0"/>
        <v>14</v>
      </c>
      <c r="E7" s="32">
        <f>COUNTIFS(Finals!$B$5:$B$28,"Final",Finals!$R$5:$R$28,$A7)</f>
        <v>0</v>
      </c>
      <c r="F7" s="32" cm="1">
        <f t="array" ref="F7">SUMPRODUCT((Finals!$B$5:$B$28="Final")*(Finals!$R$5:$R$28&lt;&gt;$A7)*--(((Finals!$E$5:$E$28=$A7)+(Finals!$L$5:$L$28=$A7))&gt;0))</f>
        <v>0</v>
      </c>
      <c r="G7" s="32">
        <f t="shared" si="1"/>
        <v>0</v>
      </c>
      <c r="H7" s="32">
        <f t="shared" si="2"/>
        <v>0</v>
      </c>
      <c r="I7" s="33">
        <f t="shared" si="3"/>
        <v>14</v>
      </c>
      <c r="J7" s="33">
        <f t="shared" si="4"/>
        <v>1</v>
      </c>
    </row>
    <row r="8" spans="1:10" x14ac:dyDescent="0.15">
      <c r="A8" s="15" t="s">
        <v>24</v>
      </c>
      <c r="B8" s="33">
        <f>COUNTIF('Shuffled Matches'!$L$3:$L$112,$A8)</f>
        <v>9</v>
      </c>
      <c r="C8" s="33">
        <f>COUNTIF(Finals!$R$5:$R$28,$A8)</f>
        <v>0</v>
      </c>
      <c r="D8" s="33">
        <f t="shared" si="0"/>
        <v>9</v>
      </c>
      <c r="E8" s="33">
        <f>COUNTIFS(Finals!$B$5:$B$28,"Final",Finals!$R$5:$R$28,$A8)</f>
        <v>0</v>
      </c>
      <c r="F8" s="33" cm="1">
        <f t="array" ref="F8">SUMPRODUCT((Finals!$B$5:$B$28="Final")*(Finals!$R$5:$R$28&lt;&gt;$A8)*--(((Finals!$E$5:$E$28=$A8)+(Finals!$L$5:$L$28=$A8))&gt;0))</f>
        <v>0</v>
      </c>
      <c r="G8" s="33">
        <f t="shared" si="1"/>
        <v>0</v>
      </c>
      <c r="H8" s="33">
        <f t="shared" si="2"/>
        <v>0</v>
      </c>
      <c r="I8" s="33">
        <f t="shared" si="3"/>
        <v>9</v>
      </c>
      <c r="J8" s="33">
        <f t="shared" si="4"/>
        <v>2</v>
      </c>
    </row>
    <row r="9" spans="1:10" x14ac:dyDescent="0.15">
      <c r="A9" s="15" t="s">
        <v>13</v>
      </c>
      <c r="B9" s="32">
        <f>COUNTIF('Shuffled Matches'!$L$3:$L$112,$A9)</f>
        <v>6</v>
      </c>
      <c r="C9" s="32">
        <f>COUNTIF(Finals!$R$5:$R$28,$A9)</f>
        <v>0</v>
      </c>
      <c r="D9" s="32">
        <f t="shared" si="0"/>
        <v>6</v>
      </c>
      <c r="E9" s="32">
        <f>COUNTIFS(Finals!$B$5:$B$28,"Final",Finals!$R$5:$R$28,$A9)</f>
        <v>0</v>
      </c>
      <c r="F9" s="32" cm="1">
        <f t="array" ref="F9">SUMPRODUCT((Finals!$B$5:$B$28="Final")*(Finals!$R$5:$R$28&lt;&gt;$A9)*--(((Finals!$E$5:$E$28=$A9)+(Finals!$L$5:$L$28=$A9))&gt;0))</f>
        <v>0</v>
      </c>
      <c r="G9" s="32">
        <f t="shared" si="1"/>
        <v>0</v>
      </c>
      <c r="H9" s="32">
        <f t="shared" si="2"/>
        <v>0</v>
      </c>
      <c r="I9" s="33">
        <f t="shared" si="3"/>
        <v>6</v>
      </c>
      <c r="J9" s="33">
        <f t="shared" si="4"/>
        <v>4</v>
      </c>
    </row>
    <row r="10" spans="1:10" x14ac:dyDescent="0.15">
      <c r="A10" s="15" t="s">
        <v>14</v>
      </c>
      <c r="B10" s="32">
        <f>COUNTIF('Shuffled Matches'!$L$3:$L$112,$A10)</f>
        <v>8</v>
      </c>
      <c r="C10" s="32">
        <f>COUNTIF(Finals!$R$5:$R$28,$A10)</f>
        <v>0</v>
      </c>
      <c r="D10" s="32">
        <f t="shared" si="0"/>
        <v>8</v>
      </c>
      <c r="E10" s="32">
        <f>COUNTIFS(Finals!$B$5:$B$28,"Final",Finals!$R$5:$R$28,$A10)</f>
        <v>0</v>
      </c>
      <c r="F10" s="32" cm="1">
        <f t="array" ref="F10">SUMPRODUCT((Finals!$B$5:$B$28="Final")*(Finals!$R$5:$R$28&lt;&gt;$A10)*--(((Finals!$E$5:$E$28=$A10)+(Finals!$L$5:$L$28=$A10))&gt;0))</f>
        <v>0</v>
      </c>
      <c r="G10" s="32">
        <f t="shared" si="1"/>
        <v>0</v>
      </c>
      <c r="H10" s="32">
        <f t="shared" si="2"/>
        <v>0</v>
      </c>
      <c r="I10" s="33">
        <f t="shared" si="3"/>
        <v>8</v>
      </c>
      <c r="J10" s="33">
        <f t="shared" si="4"/>
        <v>3</v>
      </c>
    </row>
    <row r="11" spans="1:10" ht="20.25" customHeight="1" x14ac:dyDescent="0.15">
      <c r="A11" s="42" t="s">
        <v>196</v>
      </c>
      <c r="B11" s="42"/>
      <c r="C11" s="42"/>
      <c r="D11" s="42"/>
      <c r="E11" s="42"/>
      <c r="F11" s="42"/>
      <c r="G11" s="42"/>
      <c r="H11" s="42"/>
      <c r="I11" s="42"/>
      <c r="J11" s="42"/>
    </row>
  </sheetData>
  <mergeCells count="3">
    <mergeCell ref="A1:J1"/>
    <mergeCell ref="A2:J2"/>
    <mergeCell ref="A11:J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Shuffled Matches</vt:lpstr>
      <vt:lpstr>Format Scoreboards</vt:lpstr>
      <vt:lpstr>Qualifiers</vt:lpstr>
      <vt:lpstr>Finals</vt:lpstr>
      <vt:lpstr>Best Team Ranking</vt:lpstr>
      <vt:lpstr>'Shuffled Matches'!Print_Area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Akshith Tholakapalli</dc:creator>
  <cp:lastModifiedBy>Ali Akber P A</cp:lastModifiedBy>
  <dcterms:created xsi:type="dcterms:W3CDTF">2026-10-09T06:54:45Z</dcterms:created>
  <dcterms:modified xsi:type="dcterms:W3CDTF">2026-10-13T05:02:19Z</dcterms:modified>
</cp:coreProperties>
</file>